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dironpartnerscom.sharepoint.com/sites/GridironPartners/Shared Documents/Reporting/"/>
    </mc:Choice>
  </mc:AlternateContent>
  <xr:revisionPtr revIDLastSave="38" documentId="8_{5E32FC65-9732-4F69-8B0F-B5C3FB043281}" xr6:coauthVersionLast="47" xr6:coauthVersionMax="47" xr10:uidLastSave="{3E8CFB83-19CE-44F7-80B1-1D300C4EFA1D}"/>
  <bookViews>
    <workbookView xWindow="11970" yWindow="2160" windowWidth="15030" windowHeight="10005" xr2:uid="{1482E4F6-0A3F-46C1-A140-AD00736B2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4" i="1" l="1"/>
  <c r="A125" i="1" s="1"/>
  <c r="B89" i="1" a="1"/>
  <c r="F87" i="1" a="1"/>
  <c r="D85" i="1" a="1"/>
  <c r="G74" i="1" a="1"/>
  <c r="G92" i="1" a="1"/>
  <c r="C89" i="1" a="1"/>
  <c r="B63" i="1" a="1"/>
  <c r="G11" i="1" a="1"/>
  <c r="G13" i="1" a="1"/>
  <c r="B59" i="1" a="1"/>
  <c r="D95" i="1" a="1"/>
  <c r="C109" i="1" a="1"/>
  <c r="B125" i="1" a="1"/>
  <c r="C69" i="1" a="1"/>
  <c r="B27" i="1" a="1"/>
  <c r="C77" i="1" a="1"/>
  <c r="C33" i="1" a="1"/>
  <c r="B115" i="1" a="1"/>
  <c r="B66" i="1" a="1"/>
  <c r="B87" i="1" a="1"/>
  <c r="F62" i="1" a="1"/>
  <c r="G12" i="1" a="1"/>
  <c r="G96" i="1" a="1"/>
  <c r="B109" i="1" a="1"/>
  <c r="D66" i="1" a="1"/>
  <c r="B35" i="1" a="1"/>
  <c r="B58" i="1" a="1"/>
  <c r="D40" i="1" a="1"/>
  <c r="F6" i="1" a="1"/>
  <c r="B30" i="1" a="1"/>
  <c r="C13" i="1" a="1"/>
  <c r="F10" i="1" a="1"/>
  <c r="F5" i="1" a="1"/>
  <c r="F23" i="1" a="1"/>
  <c r="G76" i="1" a="1"/>
  <c r="G25" i="1" a="1"/>
  <c r="D90" i="1" a="1"/>
  <c r="C119" i="1" a="1"/>
  <c r="F26" i="1" a="1"/>
  <c r="F9" i="1" a="1"/>
  <c r="C53" i="1" a="1"/>
  <c r="B37" i="1" a="1"/>
  <c r="F55" i="1" a="1"/>
  <c r="C61" i="1" a="1"/>
  <c r="D117" i="1" a="1"/>
  <c r="B71" i="1" a="1"/>
  <c r="G105" i="1" a="1"/>
  <c r="C2" i="1" a="1"/>
  <c r="G63" i="1" a="1"/>
  <c r="D29" i="1" a="1"/>
  <c r="D98" i="1" a="1"/>
  <c r="B38" i="1" a="1"/>
  <c r="B13" i="1" a="1"/>
  <c r="C71" i="1" a="1"/>
  <c r="C75" i="1" a="1"/>
  <c r="B3" i="1" a="1"/>
  <c r="G59" i="1" a="1"/>
  <c r="C125" i="1" a="1"/>
  <c r="D33" i="1" a="1"/>
  <c r="D72" i="1" a="1"/>
  <c r="G81" i="1" a="1"/>
  <c r="G51" i="1" a="1"/>
  <c r="C73" i="1" a="1"/>
  <c r="C116" i="1" a="1"/>
  <c r="D2" i="1" a="1"/>
  <c r="G104" i="1" a="1"/>
  <c r="G114" i="1" a="1"/>
  <c r="F77" i="1" a="1"/>
  <c r="C103" i="1" a="1"/>
  <c r="G108" i="1" a="1"/>
  <c r="C107" i="1" a="1"/>
  <c r="G36" i="1" a="1"/>
  <c r="B108" i="1" a="1"/>
  <c r="F124" i="1" a="1"/>
  <c r="D12" i="1" a="1"/>
  <c r="G79" i="1" a="1"/>
  <c r="D63" i="1" a="1"/>
  <c r="B107" i="1" a="1"/>
  <c r="C12" i="1" a="1"/>
  <c r="B14" i="1" a="1"/>
  <c r="D109" i="1" a="1"/>
  <c r="D61" i="1" a="1"/>
  <c r="D108" i="1" a="1"/>
  <c r="G54" i="1" a="1"/>
  <c r="F122" i="1" a="1"/>
  <c r="B113" i="1" a="1"/>
  <c r="C96" i="1" a="1"/>
  <c r="D13" i="1" a="1"/>
  <c r="G48" i="1" a="1"/>
  <c r="D45" i="1" a="1"/>
  <c r="C60" i="1" a="1"/>
  <c r="B7" i="1" a="1"/>
  <c r="D20" i="1" a="1"/>
  <c r="F73" i="1" a="1"/>
  <c r="D125" i="1" a="1"/>
  <c r="B6" i="1" a="1"/>
  <c r="D47" i="1" a="1"/>
  <c r="F44" i="1" a="1"/>
  <c r="B72" i="1" a="1"/>
  <c r="B83" i="1" a="1"/>
  <c r="F8" i="1" a="1"/>
  <c r="F36" i="1" a="1"/>
  <c r="B33" i="1" a="1"/>
  <c r="C101" i="1" a="1"/>
  <c r="C67" i="1" a="1"/>
  <c r="B26" i="1" a="1"/>
  <c r="G118" i="1" a="1"/>
  <c r="B60" i="1" a="1"/>
  <c r="F100" i="1" a="1"/>
  <c r="D19" i="1" a="1"/>
  <c r="G49" i="1" a="1"/>
  <c r="C91" i="1" a="1"/>
  <c r="D43" i="1" a="1"/>
  <c r="C95" i="1" a="1"/>
  <c r="C19" i="1" a="1"/>
  <c r="F125" i="1" a="1"/>
  <c r="F118" i="1" a="1"/>
  <c r="G16" i="1" a="1"/>
  <c r="G77" i="1" a="1"/>
  <c r="D99" i="1" a="1"/>
  <c r="D15" i="1" a="1"/>
  <c r="D4" i="1" a="1"/>
  <c r="B54" i="1" a="1"/>
  <c r="D68" i="1" a="1"/>
  <c r="D121" i="1" a="1"/>
  <c r="C66" i="1" a="1"/>
  <c r="D32" i="1" a="1"/>
  <c r="G84" i="1" a="1"/>
  <c r="C10" i="1" a="1"/>
  <c r="B29" i="1" a="1"/>
  <c r="G70" i="1" a="1"/>
  <c r="B93" i="1" a="1"/>
  <c r="B84" i="1" a="1"/>
  <c r="G90" i="1" a="1"/>
  <c r="G107" i="1" a="1"/>
  <c r="D94" i="1" a="1"/>
  <c r="C5" i="1" a="1"/>
  <c r="F52" i="1" a="1"/>
  <c r="D65" i="1" a="1"/>
  <c r="B82" i="1" a="1"/>
  <c r="G66" i="1" a="1"/>
  <c r="B78" i="1" a="1"/>
  <c r="B112" i="1" a="1"/>
  <c r="D64" i="1" a="1"/>
  <c r="G125" i="1" a="1"/>
  <c r="F29" i="1" a="1"/>
  <c r="C14" i="1" a="1"/>
  <c r="F117" i="1" a="1"/>
  <c r="F75" i="1" a="1"/>
  <c r="D56" i="1" a="1"/>
  <c r="C29" i="1" a="1"/>
  <c r="C114" i="1" a="1"/>
  <c r="B65" i="1" a="1"/>
  <c r="G5" i="1" a="1"/>
  <c r="B46" i="1" a="1"/>
  <c r="F15" i="1" a="1"/>
  <c r="C110" i="1" a="1"/>
  <c r="G57" i="1" a="1"/>
  <c r="D59" i="1" a="1"/>
  <c r="F34" i="1" a="1"/>
  <c r="F30" i="1" a="1"/>
  <c r="B81" i="1" a="1"/>
  <c r="B12" i="1" a="1"/>
  <c r="C65" i="1" a="1"/>
  <c r="B52" i="1" a="1"/>
  <c r="F40" i="1" a="1"/>
  <c r="F97" i="1" a="1"/>
  <c r="F24" i="1" a="1"/>
  <c r="G4" i="1" a="1"/>
  <c r="B57" i="1" a="1"/>
  <c r="B99" i="1" a="1"/>
  <c r="G50" i="1" a="1"/>
  <c r="G42" i="1" a="1"/>
  <c r="D105" i="1" a="1"/>
  <c r="G83" i="1" a="1"/>
  <c r="F89" i="1" a="1"/>
  <c r="B55" i="1" a="1"/>
  <c r="B16" i="1" a="1"/>
  <c r="G62" i="1" a="1"/>
  <c r="C64" i="1" a="1"/>
  <c r="C83" i="1" a="1"/>
  <c r="F35" i="1" a="1"/>
  <c r="C113" i="1" a="1"/>
  <c r="F60" i="1" a="1"/>
  <c r="D30" i="1" a="1"/>
  <c r="B86" i="1" a="1"/>
  <c r="D124" i="1" a="1"/>
  <c r="G91" i="1" a="1"/>
  <c r="C15" i="1" a="1"/>
  <c r="B20" i="1" a="1"/>
  <c r="C92" i="1" a="1"/>
  <c r="F88" i="1" a="1"/>
  <c r="F111" i="1" a="1"/>
  <c r="C62" i="1" a="1"/>
  <c r="B114" i="1" a="1"/>
  <c r="D35" i="1" a="1"/>
  <c r="F37" i="1" a="1"/>
  <c r="G33" i="1" a="1"/>
  <c r="D123" i="1" a="1"/>
  <c r="G94" i="1" a="1"/>
  <c r="G38" i="1" a="1"/>
  <c r="D44" i="1" a="1"/>
  <c r="G65" i="1" a="1"/>
  <c r="C25" i="1" a="1"/>
  <c r="F81" i="1" a="1"/>
  <c r="G56" i="1" a="1"/>
  <c r="B64" i="1" a="1"/>
  <c r="G117" i="1" a="1"/>
  <c r="F84" i="1" a="1"/>
  <c r="C112" i="1" a="1"/>
  <c r="G35" i="1" a="1"/>
  <c r="G52" i="1" a="1"/>
  <c r="F69" i="1" a="1"/>
  <c r="C36" i="1" a="1"/>
  <c r="G34" i="1" a="1"/>
  <c r="D22" i="1" a="1"/>
  <c r="D34" i="1" a="1"/>
  <c r="B68" i="1" a="1"/>
  <c r="G53" i="1" a="1"/>
  <c r="C26" i="1" a="1"/>
  <c r="D23" i="1" a="1"/>
  <c r="B94" i="1" a="1"/>
  <c r="G14" i="1" a="1"/>
  <c r="G123" i="1" a="1"/>
  <c r="C98" i="1" a="1"/>
  <c r="D112" i="1" a="1"/>
  <c r="F85" i="1" a="1"/>
  <c r="C59" i="1" a="1"/>
  <c r="G18" i="1" a="1"/>
  <c r="C16" i="1" a="1"/>
  <c r="B95" i="1" a="1"/>
  <c r="B21" i="1" a="1"/>
  <c r="B45" i="1" a="1"/>
  <c r="B2" i="1" a="1"/>
  <c r="D77" i="1" a="1"/>
  <c r="G9" i="1" a="1"/>
  <c r="B50" i="1" a="1"/>
  <c r="D76" i="1" a="1"/>
  <c r="D116" i="1" a="1"/>
  <c r="C118" i="1" a="1"/>
  <c r="D107" i="1" a="1"/>
  <c r="F90" i="1" a="1"/>
  <c r="B19" i="1" a="1"/>
  <c r="B17" i="1" a="1"/>
  <c r="B70" i="1" a="1"/>
  <c r="B47" i="1" a="1"/>
  <c r="B74" i="1" a="1"/>
  <c r="C52" i="1" a="1"/>
  <c r="G20" i="1" a="1"/>
  <c r="F56" i="1" a="1"/>
  <c r="F70" i="1" a="1"/>
  <c r="B117" i="1" a="1"/>
  <c r="F13" i="1" a="1"/>
  <c r="B76" i="1" a="1"/>
  <c r="F94" i="1" a="1"/>
  <c r="D104" i="1" a="1"/>
  <c r="C124" i="1" a="1"/>
  <c r="B122" i="1" a="1"/>
  <c r="F53" i="1" a="1"/>
  <c r="F114" i="1" a="1"/>
  <c r="G106" i="1" a="1"/>
  <c r="C63" i="1" a="1"/>
  <c r="C39" i="1" a="1"/>
  <c r="C88" i="1" a="1"/>
  <c r="C35" i="1" a="1"/>
  <c r="C72" i="1" a="1"/>
  <c r="G61" i="1" a="1"/>
  <c r="B98" i="1" a="1"/>
  <c r="F49" i="1" a="1"/>
  <c r="C105" i="1" a="1"/>
  <c r="C6" i="1" a="1"/>
  <c r="D111" i="1" a="1"/>
  <c r="C21" i="1" a="1"/>
  <c r="C86" i="1" a="1"/>
  <c r="B96" i="1" a="1"/>
  <c r="D37" i="1" a="1"/>
  <c r="B73" i="1" a="1"/>
  <c r="F66" i="1" a="1"/>
  <c r="D82" i="1" a="1"/>
  <c r="B43" i="1" a="1"/>
  <c r="G85" i="1" a="1"/>
  <c r="B40" i="1" a="1"/>
  <c r="G115" i="1" a="1"/>
  <c r="C85" i="1" a="1"/>
  <c r="F113" i="1" a="1"/>
  <c r="F46" i="1" a="1"/>
  <c r="G41" i="1" a="1"/>
  <c r="B48" i="1" a="1"/>
  <c r="G112" i="1" a="1"/>
  <c r="C41" i="1" a="1"/>
  <c r="G87" i="1" a="1"/>
  <c r="F50" i="1" a="1"/>
  <c r="F78" i="1" a="1"/>
  <c r="F19" i="1" a="1"/>
  <c r="D3" i="1" a="1"/>
  <c r="F67" i="1" a="1"/>
  <c r="G72" i="1" a="1"/>
  <c r="G98" i="1" a="1"/>
  <c r="D87" i="1" a="1"/>
  <c r="C47" i="1" a="1"/>
  <c r="D81" i="1" a="1"/>
  <c r="F103" i="1" a="1"/>
  <c r="B22" i="1" a="1"/>
  <c r="C3" i="1" a="1"/>
  <c r="F18" i="1" a="1"/>
  <c r="C46" i="1" a="1"/>
  <c r="F74" i="1" a="1"/>
  <c r="C90" i="1" a="1"/>
  <c r="D10" i="1" a="1"/>
  <c r="B42" i="1" a="1"/>
  <c r="F2" i="1" a="1"/>
  <c r="C8" i="1" a="1"/>
  <c r="C49" i="1" a="1"/>
  <c r="B92" i="1" a="1"/>
  <c r="D73" i="1" a="1"/>
  <c r="D69" i="1" a="1"/>
  <c r="C84" i="1" a="1"/>
  <c r="F99" i="1" a="1"/>
  <c r="F123" i="1" a="1"/>
  <c r="G101" i="1" a="1"/>
  <c r="B79" i="1" a="1"/>
  <c r="F11" i="1" a="1"/>
  <c r="D5" i="1" a="1"/>
  <c r="B10" i="1" a="1"/>
  <c r="G23" i="1" a="1"/>
  <c r="C87" i="1" a="1"/>
  <c r="G10" i="1" a="1"/>
  <c r="G78" i="1" a="1"/>
  <c r="F109" i="1" a="1"/>
  <c r="B56" i="1" a="1"/>
  <c r="F54" i="1" a="1"/>
  <c r="B103" i="1" a="1"/>
  <c r="F65" i="1" a="1"/>
  <c r="F105" i="1" a="1"/>
  <c r="C123" i="1" a="1"/>
  <c r="F91" i="1" a="1"/>
  <c r="F86" i="1" a="1"/>
  <c r="C68" i="1" a="1"/>
  <c r="F39" i="1" a="1"/>
  <c r="D17" i="1" a="1"/>
  <c r="D48" i="1" a="1"/>
  <c r="B18" i="1" a="1"/>
  <c r="F7" i="1" a="1"/>
  <c r="C27" i="1" a="1"/>
  <c r="F115" i="1" a="1"/>
  <c r="D58" i="1" a="1"/>
  <c r="F102" i="1" a="1"/>
  <c r="B118" i="1" a="1"/>
  <c r="B77" i="1" a="1"/>
  <c r="B28" i="1" a="1"/>
  <c r="G82" i="1" a="1"/>
  <c r="D14" i="1" a="1"/>
  <c r="F96" i="1" a="1"/>
  <c r="D25" i="1" a="1"/>
  <c r="G89" i="1" a="1"/>
  <c r="D79" i="1" a="1"/>
  <c r="D80" i="1" a="1"/>
  <c r="D53" i="1" a="1"/>
  <c r="D54" i="1" a="1"/>
  <c r="F116" i="1" a="1"/>
  <c r="B106" i="1" a="1"/>
  <c r="F20" i="1" a="1"/>
  <c r="C18" i="1" a="1"/>
  <c r="C102" i="1" a="1"/>
  <c r="D122" i="1" a="1"/>
  <c r="C38" i="1" a="1"/>
  <c r="B4" i="1" a="1"/>
  <c r="C78" i="1" a="1"/>
  <c r="G24" i="1" a="1"/>
  <c r="D120" i="1" a="1"/>
  <c r="F22" i="1" a="1"/>
  <c r="G73" i="1" a="1"/>
  <c r="C93" i="1" a="1"/>
  <c r="D52" i="1" a="1"/>
  <c r="B11" i="1" a="1"/>
  <c r="C42" i="1" a="1"/>
  <c r="B121" i="1" a="1"/>
  <c r="B39" i="1" a="1"/>
  <c r="G102" i="1" a="1"/>
  <c r="D39" i="1" a="1"/>
  <c r="F14" i="1" a="1"/>
  <c r="B119" i="1" a="1"/>
  <c r="B41" i="1" a="1"/>
  <c r="G120" i="1" a="1"/>
  <c r="D18" i="1" a="1"/>
  <c r="B123" i="1" a="1"/>
  <c r="D97" i="1" a="1"/>
  <c r="B69" i="1" a="1"/>
  <c r="G30" i="1" a="1"/>
  <c r="G40" i="1" a="1"/>
  <c r="D86" i="1" a="1"/>
  <c r="C11" i="1" a="1"/>
  <c r="F61" i="1" a="1"/>
  <c r="C34" i="1" a="1"/>
  <c r="G100" i="1" a="1"/>
  <c r="G60" i="1" a="1"/>
  <c r="F83" i="1" a="1"/>
  <c r="F80" i="1" a="1"/>
  <c r="G46" i="1" a="1"/>
  <c r="B24" i="1" a="1"/>
  <c r="G103" i="1" a="1"/>
  <c r="G22" i="1" a="1"/>
  <c r="D9" i="1" a="1"/>
  <c r="B101" i="1" a="1"/>
  <c r="B61" i="1" a="1"/>
  <c r="G43" i="1" a="1"/>
  <c r="D71" i="1" a="1"/>
  <c r="G29" i="1" a="1"/>
  <c r="F41" i="1" a="1"/>
  <c r="F4" i="1" a="1"/>
  <c r="G55" i="1" a="1"/>
  <c r="G67" i="1" a="1"/>
  <c r="B91" i="1" a="1"/>
  <c r="F79" i="1" a="1"/>
  <c r="C120" i="1" a="1"/>
  <c r="C122" i="1" a="1"/>
  <c r="G45" i="1" a="1"/>
  <c r="D74" i="1" a="1"/>
  <c r="G47" i="1" a="1"/>
  <c r="D41" i="1" a="1"/>
  <c r="B90" i="1" a="1"/>
  <c r="D91" i="1" a="1"/>
  <c r="D100" i="1" a="1"/>
  <c r="F27" i="1" a="1"/>
  <c r="D26" i="1" a="1"/>
  <c r="G110" i="1" a="1"/>
  <c r="G113" i="1" a="1"/>
  <c r="G121" i="1" a="1"/>
  <c r="B44" i="1" a="1"/>
  <c r="B124" i="1" a="1"/>
  <c r="F48" i="1" a="1"/>
  <c r="C76" i="1" a="1"/>
  <c r="C45" i="1" a="1"/>
  <c r="C4" i="1" a="1"/>
  <c r="B23" i="1" a="1"/>
  <c r="G28" i="1" a="1"/>
  <c r="G2" i="1" a="1"/>
  <c r="C44" i="1" a="1"/>
  <c r="C81" i="1" a="1"/>
  <c r="D88" i="1" a="1"/>
  <c r="G26" i="1" a="1"/>
  <c r="C37" i="1" a="1"/>
  <c r="F3" i="1" a="1"/>
  <c r="B36" i="1" a="1"/>
  <c r="G39" i="1" a="1"/>
  <c r="F101" i="1" a="1"/>
  <c r="C115" i="1" a="1"/>
  <c r="B85" i="1" a="1"/>
  <c r="B31" i="1" a="1"/>
  <c r="F112" i="1" a="1"/>
  <c r="G64" i="1" a="1"/>
  <c r="B120" i="1" a="1"/>
  <c r="F33" i="1" a="1"/>
  <c r="C54" i="1" a="1"/>
  <c r="F106" i="1" a="1"/>
  <c r="B110" i="1" a="1"/>
  <c r="C97" i="1" a="1"/>
  <c r="C9" i="1" a="1"/>
  <c r="B25" i="1" a="1"/>
  <c r="G21" i="1" a="1"/>
  <c r="B9" i="1" a="1"/>
  <c r="F25" i="1" a="1"/>
  <c r="B104" i="1" a="1"/>
  <c r="F16" i="1" a="1"/>
  <c r="D110" i="1" a="1"/>
  <c r="C106" i="1" a="1"/>
  <c r="D21" i="1" a="1"/>
  <c r="F82" i="1" a="1"/>
  <c r="F120" i="1" a="1"/>
  <c r="F110" i="1" a="1"/>
  <c r="B51" i="1" a="1"/>
  <c r="D118" i="1" a="1"/>
  <c r="D70" i="1" a="1"/>
  <c r="D49" i="1" a="1"/>
  <c r="D51" i="1" a="1"/>
  <c r="C117" i="1" a="1"/>
  <c r="C104" i="1" a="1"/>
  <c r="G7" i="1" a="1"/>
  <c r="F28" i="1" a="1"/>
  <c r="G3" i="1" a="1"/>
  <c r="G93" i="1" a="1"/>
  <c r="C55" i="1" a="1"/>
  <c r="D60" i="1" a="1"/>
  <c r="B100" i="1" a="1"/>
  <c r="F76" i="1" a="1"/>
  <c r="G15" i="1" a="1"/>
  <c r="B80" i="1" a="1"/>
  <c r="F42" i="1" a="1"/>
  <c r="D62" i="1" a="1"/>
  <c r="D119" i="1" a="1"/>
  <c r="G58" i="1" a="1"/>
  <c r="D11" i="1" a="1"/>
  <c r="F47" i="1" a="1"/>
  <c r="F72" i="1" a="1"/>
  <c r="G32" i="1" a="1"/>
  <c r="D67" i="1" a="1"/>
  <c r="B111" i="1" a="1"/>
  <c r="D93" i="1" a="1"/>
  <c r="G116" i="1" a="1"/>
  <c r="F51" i="1" a="1"/>
  <c r="C31" i="1" a="1"/>
  <c r="D57" i="1" a="1"/>
  <c r="F121" i="1" a="1"/>
  <c r="F98" i="1" a="1"/>
  <c r="F32" i="1" a="1"/>
  <c r="C17" i="1" a="1"/>
  <c r="D113" i="1" a="1"/>
  <c r="G99" i="1" a="1"/>
  <c r="C108" i="1" a="1"/>
  <c r="F71" i="1" a="1"/>
  <c r="D31" i="1" a="1"/>
  <c r="B32" i="1" a="1"/>
  <c r="D114" i="1" a="1"/>
  <c r="C28" i="1" a="1"/>
  <c r="C43" i="1" a="1"/>
  <c r="D103" i="1" a="1"/>
  <c r="C82" i="1" a="1"/>
  <c r="C70" i="1" a="1"/>
  <c r="G44" i="1" a="1"/>
  <c r="D8" i="1" a="1"/>
  <c r="C20" i="1" a="1"/>
  <c r="F57" i="1" a="1"/>
  <c r="G122" i="1" a="1"/>
  <c r="F92" i="1" a="1"/>
  <c r="C32" i="1" a="1"/>
  <c r="D50" i="1" a="1"/>
  <c r="G97" i="1" a="1"/>
  <c r="D106" i="1" a="1"/>
  <c r="G6" i="1" a="1"/>
  <c r="D36" i="1" a="1"/>
  <c r="F43" i="1" a="1"/>
  <c r="D83" i="1" a="1"/>
  <c r="G19" i="1" a="1"/>
  <c r="C121" i="1" a="1"/>
  <c r="D102" i="1" a="1"/>
  <c r="G75" i="1" a="1"/>
  <c r="C23" i="1" a="1"/>
  <c r="B97" i="1" a="1"/>
  <c r="G88" i="1" a="1"/>
  <c r="F31" i="1" a="1"/>
  <c r="D96" i="1" a="1"/>
  <c r="D38" i="1" a="1"/>
  <c r="G27" i="1" a="1"/>
  <c r="G86" i="1" a="1"/>
  <c r="C51" i="1" a="1"/>
  <c r="G17" i="1" a="1"/>
  <c r="F17" i="1" a="1"/>
  <c r="D7" i="1" a="1"/>
  <c r="F107" i="1" a="1"/>
  <c r="F45" i="1" a="1"/>
  <c r="F93" i="1" a="1"/>
  <c r="C22" i="1" a="1"/>
  <c r="G37" i="1" a="1"/>
  <c r="D75" i="1" a="1"/>
  <c r="C50" i="1" a="1"/>
  <c r="F119" i="1" a="1"/>
  <c r="G71" i="1" a="1"/>
  <c r="B34" i="1" a="1"/>
  <c r="G68" i="1" a="1"/>
  <c r="F108" i="1" a="1"/>
  <c r="C40" i="1" a="1"/>
  <c r="F63" i="1" a="1"/>
  <c r="D24" i="1" a="1"/>
  <c r="D92" i="1" a="1"/>
  <c r="D78" i="1" a="1"/>
  <c r="C56" i="1" a="1"/>
  <c r="G69" i="1" a="1"/>
  <c r="C58" i="1" a="1"/>
  <c r="B75" i="1" a="1"/>
  <c r="B8" i="1" a="1"/>
  <c r="F104" i="1" a="1"/>
  <c r="C30" i="1" a="1"/>
  <c r="B62" i="1" a="1"/>
  <c r="D16" i="1" a="1"/>
  <c r="D6" i="1" a="1"/>
  <c r="C100" i="1" a="1"/>
  <c r="B88" i="1" a="1"/>
  <c r="F12" i="1" a="1"/>
  <c r="C74" i="1" a="1"/>
  <c r="B49" i="1" a="1"/>
  <c r="C57" i="1" a="1"/>
  <c r="G31" i="1" a="1"/>
  <c r="D42" i="1" a="1"/>
  <c r="B5" i="1" a="1"/>
  <c r="G8" i="1" a="1"/>
  <c r="D89" i="1" a="1"/>
  <c r="D55" i="1" a="1"/>
  <c r="F59" i="1" a="1"/>
  <c r="F95" i="1" a="1"/>
  <c r="B105" i="1" a="1"/>
  <c r="C99" i="1" a="1"/>
  <c r="B53" i="1" a="1"/>
  <c r="C7" i="1" a="1"/>
  <c r="D28" i="1" a="1"/>
  <c r="D84" i="1" a="1"/>
  <c r="B67" i="1" a="1"/>
  <c r="G119" i="1" a="1"/>
  <c r="F58" i="1" a="1"/>
  <c r="G111" i="1" a="1"/>
  <c r="B15" i="1" a="1"/>
  <c r="F64" i="1" a="1"/>
  <c r="C79" i="1" a="1"/>
  <c r="C24" i="1" a="1"/>
  <c r="D27" i="1" a="1"/>
  <c r="G80" i="1" a="1"/>
  <c r="G95" i="1" a="1"/>
  <c r="C80" i="1" a="1"/>
  <c r="B102" i="1" a="1"/>
  <c r="D115" i="1" a="1"/>
  <c r="G124" i="1" a="1"/>
  <c r="D101" i="1" a="1"/>
  <c r="F68" i="1" a="1"/>
  <c r="F21" i="1" a="1"/>
  <c r="G109" i="1" a="1"/>
  <c r="B116" i="1" a="1"/>
  <c r="C111" i="1" a="1"/>
  <c r="C48" i="1" a="1"/>
  <c r="F38" i="1" a="1"/>
  <c r="D46" i="1" a="1"/>
  <c r="C94" i="1" a="1"/>
  <c r="G125" i="1" l="1"/>
  <c r="F125" i="1"/>
  <c r="D125" i="1"/>
  <c r="C125" i="1"/>
  <c r="B125" i="1"/>
  <c r="L125" i="1" s="1"/>
  <c r="B35" i="1"/>
  <c r="B51" i="1"/>
  <c r="B49" i="1"/>
  <c r="B31" i="1"/>
  <c r="B52" i="1"/>
  <c r="B40" i="1"/>
  <c r="B36" i="1"/>
  <c r="B118" i="1"/>
  <c r="B27" i="1"/>
  <c r="B107" i="1"/>
  <c r="B109" i="1"/>
  <c r="B16" i="1"/>
  <c r="B76" i="1"/>
  <c r="B3" i="1"/>
  <c r="B55" i="1"/>
  <c r="B116" i="1"/>
  <c r="B23" i="1"/>
  <c r="B46" i="1"/>
  <c r="B92" i="1"/>
  <c r="B13" i="1"/>
  <c r="B94" i="1"/>
  <c r="B85" i="1"/>
  <c r="B9" i="1"/>
  <c r="B83" i="1"/>
  <c r="B64" i="1"/>
  <c r="B108" i="1"/>
  <c r="B59" i="1"/>
  <c r="B75" i="1"/>
  <c r="B48" i="1"/>
  <c r="B54" i="1"/>
  <c r="B50" i="1"/>
  <c r="B33" i="1"/>
  <c r="B5" i="1"/>
  <c r="B41" i="1"/>
  <c r="B68" i="1"/>
  <c r="B47" i="1"/>
  <c r="B19" i="1"/>
  <c r="B38" i="1"/>
  <c r="B123" i="1"/>
  <c r="B10" i="1"/>
  <c r="B29" i="1"/>
  <c r="B25" i="1"/>
  <c r="B97" i="1"/>
  <c r="B18" i="1"/>
  <c r="B14" i="1"/>
  <c r="B88" i="1"/>
  <c r="B7" i="1"/>
  <c r="B114" i="1"/>
  <c r="B65" i="1"/>
  <c r="B67" i="1"/>
  <c r="B103" i="1"/>
  <c r="B34" i="1"/>
  <c r="B105" i="1"/>
  <c r="B122" i="1"/>
  <c r="B30" i="1"/>
  <c r="B81" i="1"/>
  <c r="B112" i="1"/>
  <c r="B70" i="1"/>
  <c r="B96" i="1"/>
  <c r="B72" i="1"/>
  <c r="B22" i="1"/>
  <c r="L22" i="1" s="1"/>
  <c r="B87" i="1"/>
  <c r="B61" i="1"/>
  <c r="B100" i="1"/>
  <c r="B66" i="1"/>
  <c r="B37" i="1"/>
  <c r="B63" i="1"/>
  <c r="B45" i="1"/>
  <c r="B39" i="1"/>
  <c r="B26" i="1"/>
  <c r="B21" i="1"/>
  <c r="B12" i="1"/>
  <c r="B24" i="1"/>
  <c r="B28" i="1"/>
  <c r="B15" i="1"/>
  <c r="B2" i="1"/>
  <c r="B120" i="1"/>
  <c r="L120" i="1" s="1"/>
  <c r="B111" i="1"/>
  <c r="B8" i="1"/>
  <c r="B17" i="1"/>
  <c r="B4" i="1"/>
  <c r="B121" i="1"/>
  <c r="B78" i="1"/>
  <c r="L78" i="1" s="1"/>
  <c r="B90" i="1"/>
  <c r="B106" i="1"/>
  <c r="B6" i="1"/>
  <c r="B124" i="1"/>
  <c r="B44" i="1"/>
  <c r="B57" i="1"/>
  <c r="B74" i="1"/>
  <c r="B115" i="1"/>
  <c r="B113" i="1"/>
  <c r="B101" i="1"/>
  <c r="B20" i="1"/>
  <c r="B53" i="1"/>
  <c r="B117" i="1"/>
  <c r="B104" i="1"/>
  <c r="B102" i="1"/>
  <c r="B43" i="1"/>
  <c r="B119" i="1"/>
  <c r="B32" i="1"/>
  <c r="B95" i="1"/>
  <c r="L95" i="1" s="1"/>
  <c r="B93" i="1"/>
  <c r="B91" i="1"/>
  <c r="B79" i="1"/>
  <c r="B98" i="1"/>
  <c r="B11" i="1"/>
  <c r="B84" i="1"/>
  <c r="B82" i="1"/>
  <c r="B80" i="1"/>
  <c r="B42" i="1"/>
  <c r="B77" i="1"/>
  <c r="B110" i="1"/>
  <c r="B73" i="1"/>
  <c r="B71" i="1"/>
  <c r="B69" i="1"/>
  <c r="B99" i="1"/>
  <c r="B56" i="1"/>
  <c r="B89" i="1"/>
  <c r="B62" i="1"/>
  <c r="B60" i="1"/>
  <c r="B58" i="1"/>
  <c r="B86" i="1"/>
  <c r="C33" i="1"/>
  <c r="F106" i="1"/>
  <c r="C47" i="1"/>
  <c r="F52" i="1"/>
  <c r="G78" i="1"/>
  <c r="D57" i="1"/>
  <c r="D96" i="1"/>
  <c r="C97" i="1"/>
  <c r="C8" i="1"/>
  <c r="C74" i="1"/>
  <c r="F28" i="1"/>
  <c r="C11" i="1"/>
  <c r="G110" i="1"/>
  <c r="G88" i="1"/>
  <c r="G15" i="1"/>
  <c r="G39" i="1"/>
  <c r="G64" i="1"/>
  <c r="C21" i="1"/>
  <c r="G23" i="1"/>
  <c r="D30" i="1"/>
  <c r="D82" i="1"/>
  <c r="G12" i="1"/>
  <c r="G37" i="1"/>
  <c r="C70" i="1"/>
  <c r="G74" i="1"/>
  <c r="F77" i="1"/>
  <c r="G101" i="1"/>
  <c r="F79" i="1"/>
  <c r="C84" i="1"/>
  <c r="C35" i="1"/>
  <c r="F15" i="1"/>
  <c r="G111" i="1"/>
  <c r="D16" i="1"/>
  <c r="F66" i="1"/>
  <c r="F91" i="1"/>
  <c r="F42" i="1"/>
  <c r="D120" i="1"/>
  <c r="F3" i="1"/>
  <c r="G25" i="1"/>
  <c r="D6" i="1"/>
  <c r="D55" i="1"/>
  <c r="C60" i="1"/>
  <c r="D69" i="1"/>
  <c r="D20" i="1"/>
  <c r="D43" i="1"/>
  <c r="F93" i="1"/>
  <c r="C3" i="1"/>
  <c r="D11" i="1"/>
  <c r="D25" i="1"/>
  <c r="F33" i="1"/>
  <c r="F47" i="1"/>
  <c r="C65" i="1"/>
  <c r="G69" i="1"/>
  <c r="C79" i="1"/>
  <c r="G83" i="1"/>
  <c r="D87" i="1"/>
  <c r="D101" i="1"/>
  <c r="D111" i="1"/>
  <c r="G118" i="1"/>
  <c r="C25" i="1"/>
  <c r="D33" i="1"/>
  <c r="D47" i="1"/>
  <c r="F55" i="1"/>
  <c r="F69" i="1"/>
  <c r="C87" i="1"/>
  <c r="G91" i="1"/>
  <c r="C101" i="1"/>
  <c r="G105" i="1"/>
  <c r="C118" i="1"/>
  <c r="F6" i="1"/>
  <c r="F20" i="1"/>
  <c r="C38" i="1"/>
  <c r="G42" i="1"/>
  <c r="C52" i="1"/>
  <c r="G56" i="1"/>
  <c r="D60" i="1"/>
  <c r="D74" i="1"/>
  <c r="F96" i="1"/>
  <c r="C111" i="1"/>
  <c r="C16" i="1"/>
  <c r="G20" i="1"/>
  <c r="C30" i="1"/>
  <c r="G34" i="1"/>
  <c r="D38" i="1"/>
  <c r="D52" i="1"/>
  <c r="F74" i="1"/>
  <c r="F88" i="1"/>
  <c r="C92" i="1"/>
  <c r="G96" i="1"/>
  <c r="D3" i="1"/>
  <c r="F11" i="1"/>
  <c r="F25" i="1"/>
  <c r="C43" i="1"/>
  <c r="G47" i="1"/>
  <c r="C57" i="1"/>
  <c r="G61" i="1"/>
  <c r="D65" i="1"/>
  <c r="D79" i="1"/>
  <c r="F101" i="1"/>
  <c r="C119" i="1"/>
  <c r="G17" i="1"/>
  <c r="F30" i="1"/>
  <c r="G66" i="1"/>
  <c r="C113" i="1"/>
  <c r="F57" i="1"/>
  <c r="H57" i="1" s="1"/>
  <c r="G79" i="1"/>
  <c r="C89" i="1"/>
  <c r="G93" i="1"/>
  <c r="C121" i="1"/>
  <c r="F8" i="1"/>
  <c r="F22" i="1"/>
  <c r="C26" i="1"/>
  <c r="G30" i="1"/>
  <c r="C40" i="1"/>
  <c r="G44" i="1"/>
  <c r="D62" i="1"/>
  <c r="D76" i="1"/>
  <c r="F84" i="1"/>
  <c r="F98" i="1"/>
  <c r="C108" i="1"/>
  <c r="G113" i="1"/>
  <c r="D13" i="1"/>
  <c r="F35" i="1"/>
  <c r="F49" i="1"/>
  <c r="C53" i="1"/>
  <c r="G57" i="1"/>
  <c r="C67" i="1"/>
  <c r="G71" i="1"/>
  <c r="D89" i="1"/>
  <c r="D103" i="1"/>
  <c r="C4" i="1"/>
  <c r="G8" i="1"/>
  <c r="C18" i="1"/>
  <c r="G22" i="1"/>
  <c r="D40" i="1"/>
  <c r="D54" i="1"/>
  <c r="F62" i="1"/>
  <c r="F76" i="1"/>
  <c r="G84" i="1"/>
  <c r="C94" i="1"/>
  <c r="G98" i="1"/>
  <c r="D108" i="1"/>
  <c r="C114" i="1"/>
  <c r="F121" i="1"/>
  <c r="C62" i="1"/>
  <c r="G106" i="1"/>
  <c r="D35" i="1"/>
  <c r="C75" i="1"/>
  <c r="F13" i="1"/>
  <c r="C31" i="1"/>
  <c r="C45" i="1"/>
  <c r="F89" i="1"/>
  <c r="H89" i="1" s="1"/>
  <c r="F40" i="1"/>
  <c r="G62" i="1"/>
  <c r="D94" i="1"/>
  <c r="F5" i="1"/>
  <c r="G27" i="1"/>
  <c r="D59" i="1"/>
  <c r="F115" i="1"/>
  <c r="F32" i="1"/>
  <c r="G40" i="1"/>
  <c r="C50" i="1"/>
  <c r="G54" i="1"/>
  <c r="C64" i="1"/>
  <c r="D72" i="1"/>
  <c r="D86" i="1"/>
  <c r="F94" i="1"/>
  <c r="F123" i="1"/>
  <c r="D8" i="1"/>
  <c r="F44" i="1"/>
  <c r="D98" i="1"/>
  <c r="C13" i="1"/>
  <c r="F27" i="1"/>
  <c r="D67" i="1"/>
  <c r="G122" i="1"/>
  <c r="C72" i="1"/>
  <c r="C9" i="1"/>
  <c r="G103" i="1"/>
  <c r="G52" i="1"/>
  <c r="D84" i="1"/>
  <c r="F120" i="1"/>
  <c r="G3" i="1"/>
  <c r="D21" i="1"/>
  <c r="G35" i="1"/>
  <c r="D81" i="1"/>
  <c r="F103" i="1"/>
  <c r="D18" i="1"/>
  <c r="D32" i="1"/>
  <c r="F54" i="1"/>
  <c r="C23" i="1"/>
  <c r="D45" i="1"/>
  <c r="G89" i="1"/>
  <c r="C99" i="1"/>
  <c r="D10" i="1"/>
  <c r="G5" i="1"/>
  <c r="D23" i="1"/>
  <c r="F45" i="1"/>
  <c r="F59" i="1"/>
  <c r="C77" i="1"/>
  <c r="C91" i="1"/>
  <c r="F10" i="1"/>
  <c r="G18" i="1"/>
  <c r="C28" i="1"/>
  <c r="C42" i="1"/>
  <c r="D50" i="1"/>
  <c r="D64" i="1"/>
  <c r="F72" i="1"/>
  <c r="F86" i="1"/>
  <c r="C104" i="1"/>
  <c r="D116" i="1"/>
  <c r="C48" i="1"/>
  <c r="F71" i="1"/>
  <c r="G49" i="1"/>
  <c r="G76" i="1"/>
  <c r="C86" i="1"/>
  <c r="G13" i="1"/>
  <c r="F67" i="1"/>
  <c r="F81" i="1"/>
  <c r="F18" i="1"/>
  <c r="D37" i="1"/>
  <c r="G67" i="1"/>
  <c r="G81" i="1"/>
  <c r="D99" i="1"/>
  <c r="C109" i="1"/>
  <c r="G32" i="1"/>
  <c r="D15" i="1"/>
  <c r="F23" i="1"/>
  <c r="F37" i="1"/>
  <c r="G45" i="1"/>
  <c r="C55" i="1"/>
  <c r="G59" i="1"/>
  <c r="C69" i="1"/>
  <c r="D77" i="1"/>
  <c r="D91" i="1"/>
  <c r="F99" i="1"/>
  <c r="D109" i="1"/>
  <c r="F116" i="1"/>
  <c r="C6" i="1"/>
  <c r="G10" i="1"/>
  <c r="C20" i="1"/>
  <c r="D28" i="1"/>
  <c r="D42" i="1"/>
  <c r="F50" i="1"/>
  <c r="F64" i="1"/>
  <c r="C82" i="1"/>
  <c r="G86" i="1"/>
  <c r="C96" i="1"/>
  <c r="G100" i="1"/>
  <c r="D104" i="1"/>
  <c r="F110" i="1"/>
  <c r="D113" i="1"/>
  <c r="G115" i="1"/>
  <c r="C123" i="1"/>
  <c r="C106" i="1"/>
  <c r="F108" i="1"/>
  <c r="D118" i="1"/>
  <c r="G120" i="1"/>
  <c r="F113" i="1"/>
  <c r="D123" i="1"/>
  <c r="D106" i="1"/>
  <c r="G108" i="1"/>
  <c r="C116" i="1"/>
  <c r="F118" i="1"/>
  <c r="F111" i="1"/>
  <c r="D121" i="1"/>
  <c r="G123" i="1"/>
  <c r="C107" i="1"/>
  <c r="C124" i="1"/>
  <c r="G72" i="1"/>
  <c r="D114" i="1"/>
  <c r="F43" i="1"/>
  <c r="F87" i="1"/>
  <c r="F109" i="1"/>
  <c r="F4" i="1"/>
  <c r="G38" i="1"/>
  <c r="D58" i="1"/>
  <c r="F92" i="1"/>
  <c r="F9" i="1"/>
  <c r="D19" i="1"/>
  <c r="F31" i="1"/>
  <c r="G43" i="1"/>
  <c r="D63" i="1"/>
  <c r="C73" i="1"/>
  <c r="D85" i="1"/>
  <c r="F97" i="1"/>
  <c r="G109" i="1"/>
  <c r="F119" i="1"/>
  <c r="D2" i="1"/>
  <c r="G4" i="1"/>
  <c r="C12" i="1"/>
  <c r="F14" i="1"/>
  <c r="D24" i="1"/>
  <c r="G26" i="1"/>
  <c r="C34" i="1"/>
  <c r="F36" i="1"/>
  <c r="D46" i="1"/>
  <c r="G48" i="1"/>
  <c r="C56" i="1"/>
  <c r="F58" i="1"/>
  <c r="D68" i="1"/>
  <c r="G70" i="1"/>
  <c r="C78" i="1"/>
  <c r="F80" i="1"/>
  <c r="D90" i="1"/>
  <c r="G92" i="1"/>
  <c r="C100" i="1"/>
  <c r="F102" i="1"/>
  <c r="D112" i="1"/>
  <c r="G114" i="1"/>
  <c r="C122" i="1"/>
  <c r="C80" i="1"/>
  <c r="F104" i="1"/>
  <c r="G33" i="1"/>
  <c r="D75" i="1"/>
  <c r="C2" i="1"/>
  <c r="G16" i="1"/>
  <c r="C46" i="1"/>
  <c r="C90" i="1"/>
  <c r="G21" i="1"/>
  <c r="C51" i="1"/>
  <c r="F75" i="1"/>
  <c r="C95" i="1"/>
  <c r="D124" i="1"/>
  <c r="D7" i="1"/>
  <c r="G9" i="1"/>
  <c r="C17" i="1"/>
  <c r="F19" i="1"/>
  <c r="D29" i="1"/>
  <c r="G31" i="1"/>
  <c r="C39" i="1"/>
  <c r="F41" i="1"/>
  <c r="D51" i="1"/>
  <c r="G53" i="1"/>
  <c r="C61" i="1"/>
  <c r="F63" i="1"/>
  <c r="D73" i="1"/>
  <c r="G75" i="1"/>
  <c r="C83" i="1"/>
  <c r="F85" i="1"/>
  <c r="D95" i="1"/>
  <c r="G97" i="1"/>
  <c r="C105" i="1"/>
  <c r="F107" i="1"/>
  <c r="D117" i="1"/>
  <c r="G119" i="1"/>
  <c r="F124" i="1"/>
  <c r="G6" i="1"/>
  <c r="G28" i="1"/>
  <c r="F38" i="1"/>
  <c r="F60" i="1"/>
  <c r="F82" i="1"/>
  <c r="C102" i="1"/>
  <c r="D9" i="1"/>
  <c r="D31" i="1"/>
  <c r="F65" i="1"/>
  <c r="D97" i="1"/>
  <c r="G60" i="1"/>
  <c r="C112" i="1"/>
  <c r="C29" i="1"/>
  <c r="D41" i="1"/>
  <c r="F53" i="1"/>
  <c r="G65" i="1"/>
  <c r="G87" i="1"/>
  <c r="D107" i="1"/>
  <c r="F2" i="1"/>
  <c r="D12" i="1"/>
  <c r="G14" i="1"/>
  <c r="C22" i="1"/>
  <c r="F24" i="1"/>
  <c r="D34" i="1"/>
  <c r="G36" i="1"/>
  <c r="C44" i="1"/>
  <c r="F46" i="1"/>
  <c r="D56" i="1"/>
  <c r="G58" i="1"/>
  <c r="C66" i="1"/>
  <c r="F68" i="1"/>
  <c r="D78" i="1"/>
  <c r="G80" i="1"/>
  <c r="C88" i="1"/>
  <c r="F90" i="1"/>
  <c r="D100" i="1"/>
  <c r="G102" i="1"/>
  <c r="C110" i="1"/>
  <c r="F112" i="1"/>
  <c r="D122" i="1"/>
  <c r="D26" i="1"/>
  <c r="D48" i="1"/>
  <c r="C58" i="1"/>
  <c r="G94" i="1"/>
  <c r="G11" i="1"/>
  <c r="F21" i="1"/>
  <c r="D53" i="1"/>
  <c r="G55" i="1"/>
  <c r="D14" i="1"/>
  <c r="C24" i="1"/>
  <c r="F26" i="1"/>
  <c r="D36" i="1"/>
  <c r="F48" i="1"/>
  <c r="D80" i="1"/>
  <c r="F114" i="1"/>
  <c r="C5" i="1"/>
  <c r="F7" i="1"/>
  <c r="D17" i="1"/>
  <c r="G19" i="1"/>
  <c r="C27" i="1"/>
  <c r="F29" i="1"/>
  <c r="D39" i="1"/>
  <c r="G41" i="1"/>
  <c r="C49" i="1"/>
  <c r="F51" i="1"/>
  <c r="D61" i="1"/>
  <c r="G63" i="1"/>
  <c r="C71" i="1"/>
  <c r="F73" i="1"/>
  <c r="D83" i="1"/>
  <c r="G85" i="1"/>
  <c r="C93" i="1"/>
  <c r="F95" i="1"/>
  <c r="D105" i="1"/>
  <c r="G107" i="1"/>
  <c r="C115" i="1"/>
  <c r="F117" i="1"/>
  <c r="G124" i="1"/>
  <c r="C14" i="1"/>
  <c r="C36" i="1"/>
  <c r="D92" i="1"/>
  <c r="G116" i="1"/>
  <c r="C63" i="1"/>
  <c r="C85" i="1"/>
  <c r="G99" i="1"/>
  <c r="G121" i="1"/>
  <c r="C68" i="1"/>
  <c r="G104" i="1"/>
  <c r="C7" i="1"/>
  <c r="C117" i="1"/>
  <c r="G2" i="1"/>
  <c r="C10" i="1"/>
  <c r="F12" i="1"/>
  <c r="D22" i="1"/>
  <c r="G24" i="1"/>
  <c r="C32" i="1"/>
  <c r="F34" i="1"/>
  <c r="D44" i="1"/>
  <c r="G46" i="1"/>
  <c r="C54" i="1"/>
  <c r="F56" i="1"/>
  <c r="D66" i="1"/>
  <c r="G68" i="1"/>
  <c r="C76" i="1"/>
  <c r="F78" i="1"/>
  <c r="D88" i="1"/>
  <c r="G90" i="1"/>
  <c r="C98" i="1"/>
  <c r="F100" i="1"/>
  <c r="D110" i="1"/>
  <c r="G112" i="1"/>
  <c r="C120" i="1"/>
  <c r="F122" i="1"/>
  <c r="D4" i="1"/>
  <c r="F16" i="1"/>
  <c r="G50" i="1"/>
  <c r="D70" i="1"/>
  <c r="C19" i="1"/>
  <c r="C41" i="1"/>
  <c r="G77" i="1"/>
  <c r="D119" i="1"/>
  <c r="F70" i="1"/>
  <c r="G82" i="1"/>
  <c r="D102" i="1"/>
  <c r="D5" i="1"/>
  <c r="G7" i="1"/>
  <c r="C15" i="1"/>
  <c r="F17" i="1"/>
  <c r="D27" i="1"/>
  <c r="G29" i="1"/>
  <c r="C37" i="1"/>
  <c r="F39" i="1"/>
  <c r="H39" i="1" s="1"/>
  <c r="D49" i="1"/>
  <c r="G51" i="1"/>
  <c r="C59" i="1"/>
  <c r="F61" i="1"/>
  <c r="D71" i="1"/>
  <c r="G73" i="1"/>
  <c r="C81" i="1"/>
  <c r="F83" i="1"/>
  <c r="D93" i="1"/>
  <c r="G95" i="1"/>
  <c r="C103" i="1"/>
  <c r="F105" i="1"/>
  <c r="D115" i="1"/>
  <c r="G117" i="1"/>
  <c r="L123" i="1" l="1"/>
  <c r="L86" i="1"/>
  <c r="L68" i="1"/>
  <c r="H118" i="1"/>
  <c r="I118" i="1" s="1"/>
  <c r="H88" i="1"/>
  <c r="I88" i="1" s="1"/>
  <c r="L58" i="1"/>
  <c r="L119" i="1"/>
  <c r="L111" i="1"/>
  <c r="L16" i="1"/>
  <c r="L104" i="1"/>
  <c r="L15" i="1"/>
  <c r="L56" i="1"/>
  <c r="L98" i="1"/>
  <c r="L80" i="1"/>
  <c r="L44" i="1"/>
  <c r="L37" i="1"/>
  <c r="L18" i="1"/>
  <c r="L6" i="1"/>
  <c r="L100" i="1"/>
  <c r="L25" i="1"/>
  <c r="L11" i="1"/>
  <c r="L106" i="1"/>
  <c r="L61" i="1"/>
  <c r="H125" i="1"/>
  <c r="L87" i="1"/>
  <c r="I125" i="1"/>
  <c r="L85" i="1"/>
  <c r="H37" i="1"/>
  <c r="I37" i="1" s="1"/>
  <c r="L13" i="1"/>
  <c r="L10" i="1"/>
  <c r="L23" i="1"/>
  <c r="L17" i="1"/>
  <c r="L30" i="1"/>
  <c r="L62" i="1"/>
  <c r="L105" i="1"/>
  <c r="H84" i="1"/>
  <c r="L82" i="1"/>
  <c r="L124" i="1"/>
  <c r="L66" i="1"/>
  <c r="L4" i="1"/>
  <c r="L53" i="1"/>
  <c r="L79" i="1"/>
  <c r="L55" i="1"/>
  <c r="L76" i="1"/>
  <c r="L84" i="1"/>
  <c r="L27" i="1"/>
  <c r="L2" i="1"/>
  <c r="M2" i="1" s="1"/>
  <c r="N2" i="1" s="1"/>
  <c r="L90" i="1"/>
  <c r="L92" i="1"/>
  <c r="L91" i="1"/>
  <c r="L121" i="1"/>
  <c r="L72" i="1"/>
  <c r="L116" i="1"/>
  <c r="L93" i="1"/>
  <c r="L94" i="1"/>
  <c r="L48" i="1"/>
  <c r="L70" i="1"/>
  <c r="L81" i="1"/>
  <c r="L41" i="1"/>
  <c r="L43" i="1"/>
  <c r="L107" i="1"/>
  <c r="L89" i="1"/>
  <c r="L118" i="1"/>
  <c r="L24" i="1"/>
  <c r="L103" i="1"/>
  <c r="L36" i="1"/>
  <c r="L69" i="1"/>
  <c r="L20" i="1"/>
  <c r="L12" i="1"/>
  <c r="L67" i="1"/>
  <c r="L75" i="1"/>
  <c r="L40" i="1"/>
  <c r="L29" i="1"/>
  <c r="L97" i="1"/>
  <c r="L46" i="1"/>
  <c r="L96" i="1"/>
  <c r="L3" i="1"/>
  <c r="L60" i="1"/>
  <c r="L102" i="1"/>
  <c r="L33" i="1"/>
  <c r="L28" i="1"/>
  <c r="L71" i="1"/>
  <c r="L52" i="1"/>
  <c r="L73" i="1"/>
  <c r="L113" i="1"/>
  <c r="L26" i="1"/>
  <c r="L114" i="1"/>
  <c r="L108" i="1"/>
  <c r="L31" i="1"/>
  <c r="L38" i="1"/>
  <c r="L19" i="1"/>
  <c r="L47" i="1"/>
  <c r="L112" i="1"/>
  <c r="L122" i="1"/>
  <c r="L50" i="1"/>
  <c r="L117" i="1"/>
  <c r="L99" i="1"/>
  <c r="L101" i="1"/>
  <c r="L65" i="1"/>
  <c r="L110" i="1"/>
  <c r="L115" i="1"/>
  <c r="L39" i="1"/>
  <c r="L7" i="1"/>
  <c r="L64" i="1"/>
  <c r="L49" i="1"/>
  <c r="L32" i="1"/>
  <c r="L5" i="1"/>
  <c r="L34" i="1"/>
  <c r="L21" i="1"/>
  <c r="L77" i="1"/>
  <c r="L74" i="1"/>
  <c r="L45" i="1"/>
  <c r="L88" i="1"/>
  <c r="L83" i="1"/>
  <c r="L51" i="1"/>
  <c r="L8" i="1"/>
  <c r="L109" i="1"/>
  <c r="L54" i="1"/>
  <c r="L59" i="1"/>
  <c r="L42" i="1"/>
  <c r="L57" i="1"/>
  <c r="L63" i="1"/>
  <c r="L14" i="1"/>
  <c r="L9" i="1"/>
  <c r="L35" i="1"/>
  <c r="H53" i="1"/>
  <c r="I53" i="1" s="1"/>
  <c r="H72" i="1"/>
  <c r="I72" i="1" s="1"/>
  <c r="H32" i="1"/>
  <c r="I32" i="1" s="1"/>
  <c r="H33" i="1"/>
  <c r="I33" i="1" s="1"/>
  <c r="H99" i="1"/>
  <c r="I99" i="1" s="1"/>
  <c r="I84" i="1"/>
  <c r="I89" i="1"/>
  <c r="I57" i="1"/>
  <c r="I39" i="1"/>
  <c r="H18" i="1"/>
  <c r="I18" i="1" s="1"/>
  <c r="H67" i="1"/>
  <c r="I67" i="1" s="1"/>
  <c r="H81" i="1"/>
  <c r="I81" i="1" s="1"/>
  <c r="H74" i="1"/>
  <c r="I74" i="1" s="1"/>
  <c r="H24" i="1"/>
  <c r="I24" i="1" s="1"/>
  <c r="H19" i="1"/>
  <c r="I19" i="1" s="1"/>
  <c r="H27" i="1"/>
  <c r="I27" i="1" s="1"/>
  <c r="H102" i="1"/>
  <c r="I102" i="1" s="1"/>
  <c r="H61" i="1"/>
  <c r="I61" i="1" s="1"/>
  <c r="H124" i="1"/>
  <c r="I124" i="1" s="1"/>
  <c r="H44" i="1"/>
  <c r="I44" i="1" s="1"/>
  <c r="H3" i="1"/>
  <c r="I3" i="1" s="1"/>
  <c r="H40" i="1"/>
  <c r="I40" i="1" s="1"/>
  <c r="H16" i="1"/>
  <c r="I16" i="1" s="1"/>
  <c r="H46" i="1"/>
  <c r="I46" i="1" s="1"/>
  <c r="H82" i="1"/>
  <c r="I82" i="1" s="1"/>
  <c r="H45" i="1"/>
  <c r="I45" i="1" s="1"/>
  <c r="H60" i="1"/>
  <c r="I60" i="1" s="1"/>
  <c r="H69" i="1"/>
  <c r="I69" i="1" s="1"/>
  <c r="H80" i="1"/>
  <c r="I80" i="1" s="1"/>
  <c r="H100" i="1"/>
  <c r="I100" i="1" s="1"/>
  <c r="H123" i="1"/>
  <c r="I123" i="1" s="1"/>
  <c r="H30" i="1"/>
  <c r="I30" i="1" s="1"/>
  <c r="H42" i="1"/>
  <c r="I42" i="1" s="1"/>
  <c r="H107" i="1"/>
  <c r="I107" i="1" s="1"/>
  <c r="H75" i="1"/>
  <c r="I75" i="1" s="1"/>
  <c r="H96" i="1"/>
  <c r="I96" i="1" s="1"/>
  <c r="H78" i="1"/>
  <c r="I78" i="1" s="1"/>
  <c r="H101" i="1"/>
  <c r="I101" i="1" s="1"/>
  <c r="H4" i="1"/>
  <c r="I4" i="1" s="1"/>
  <c r="H86" i="1"/>
  <c r="I86" i="1" s="1"/>
  <c r="H103" i="1"/>
  <c r="I103" i="1" s="1"/>
  <c r="H111" i="1"/>
  <c r="I111" i="1" s="1"/>
  <c r="H59" i="1"/>
  <c r="I59" i="1" s="1"/>
  <c r="H8" i="1"/>
  <c r="I8" i="1" s="1"/>
  <c r="H95" i="1"/>
  <c r="I95" i="1" s="1"/>
  <c r="H13" i="1"/>
  <c r="I13" i="1" s="1"/>
  <c r="H17" i="1"/>
  <c r="I17" i="1" s="1"/>
  <c r="H29" i="1"/>
  <c r="I29" i="1" s="1"/>
  <c r="H112" i="1"/>
  <c r="I112" i="1" s="1"/>
  <c r="H28" i="1"/>
  <c r="I28" i="1" s="1"/>
  <c r="H15" i="1"/>
  <c r="I15" i="1" s="1"/>
  <c r="H49" i="1"/>
  <c r="I49" i="1" s="1"/>
  <c r="H110" i="1"/>
  <c r="I110" i="1" s="1"/>
  <c r="H26" i="1"/>
  <c r="I26" i="1" s="1"/>
  <c r="H122" i="1"/>
  <c r="I122" i="1" s="1"/>
  <c r="H73" i="1"/>
  <c r="I73" i="1" s="1"/>
  <c r="H38" i="1"/>
  <c r="I38" i="1" s="1"/>
  <c r="H55" i="1"/>
  <c r="I55" i="1" s="1"/>
  <c r="H21" i="1"/>
  <c r="I21" i="1" s="1"/>
  <c r="H97" i="1"/>
  <c r="I97" i="1" s="1"/>
  <c r="H116" i="1"/>
  <c r="I116" i="1" s="1"/>
  <c r="H31" i="1"/>
  <c r="I31" i="1" s="1"/>
  <c r="H113" i="1"/>
  <c r="I113" i="1" s="1"/>
  <c r="H12" i="1"/>
  <c r="I12" i="1" s="1"/>
  <c r="H51" i="1"/>
  <c r="I51" i="1" s="1"/>
  <c r="H9" i="1"/>
  <c r="I9" i="1" s="1"/>
  <c r="H71" i="1"/>
  <c r="I71" i="1" s="1"/>
  <c r="H2" i="1"/>
  <c r="I2" i="1" s="1"/>
  <c r="J2" i="1" s="1"/>
  <c r="H58" i="1"/>
  <c r="I58" i="1" s="1"/>
  <c r="H92" i="1"/>
  <c r="I92" i="1" s="1"/>
  <c r="H108" i="1"/>
  <c r="I108" i="1" s="1"/>
  <c r="H54" i="1"/>
  <c r="I54" i="1" s="1"/>
  <c r="H94" i="1"/>
  <c r="I94" i="1" s="1"/>
  <c r="H35" i="1"/>
  <c r="I35" i="1" s="1"/>
  <c r="H91" i="1"/>
  <c r="I91" i="1" s="1"/>
  <c r="H121" i="1"/>
  <c r="I121" i="1" s="1"/>
  <c r="H66" i="1"/>
  <c r="I66" i="1" s="1"/>
  <c r="H85" i="1"/>
  <c r="I85" i="1" s="1"/>
  <c r="H36" i="1"/>
  <c r="I36" i="1" s="1"/>
  <c r="H109" i="1"/>
  <c r="I109" i="1" s="1"/>
  <c r="H98" i="1"/>
  <c r="I98" i="1" s="1"/>
  <c r="H87" i="1"/>
  <c r="I87" i="1" s="1"/>
  <c r="H56" i="1"/>
  <c r="I56" i="1" s="1"/>
  <c r="H7" i="1"/>
  <c r="I7" i="1" s="1"/>
  <c r="H90" i="1"/>
  <c r="I90" i="1" s="1"/>
  <c r="H43" i="1"/>
  <c r="I43" i="1" s="1"/>
  <c r="H23" i="1"/>
  <c r="I23" i="1" s="1"/>
  <c r="H47" i="1"/>
  <c r="I47" i="1" s="1"/>
  <c r="H105" i="1"/>
  <c r="I105" i="1" s="1"/>
  <c r="H70" i="1"/>
  <c r="I70" i="1" s="1"/>
  <c r="H76" i="1"/>
  <c r="I76" i="1" s="1"/>
  <c r="H79" i="1"/>
  <c r="I79" i="1" s="1"/>
  <c r="H117" i="1"/>
  <c r="I117" i="1" s="1"/>
  <c r="H114" i="1"/>
  <c r="I114" i="1" s="1"/>
  <c r="H63" i="1"/>
  <c r="I63" i="1" s="1"/>
  <c r="H14" i="1"/>
  <c r="I14" i="1" s="1"/>
  <c r="H120" i="1"/>
  <c r="I120" i="1" s="1"/>
  <c r="H115" i="1"/>
  <c r="I115" i="1" s="1"/>
  <c r="H62" i="1"/>
  <c r="I62" i="1" s="1"/>
  <c r="H20" i="1"/>
  <c r="I20" i="1" s="1"/>
  <c r="H104" i="1"/>
  <c r="I104" i="1" s="1"/>
  <c r="H25" i="1"/>
  <c r="I25" i="1" s="1"/>
  <c r="H6" i="1"/>
  <c r="I6" i="1" s="1"/>
  <c r="H77" i="1"/>
  <c r="I77" i="1" s="1"/>
  <c r="H52" i="1"/>
  <c r="I52" i="1" s="1"/>
  <c r="H34" i="1"/>
  <c r="I34" i="1" s="1"/>
  <c r="H48" i="1"/>
  <c r="I48" i="1" s="1"/>
  <c r="H68" i="1"/>
  <c r="I68" i="1" s="1"/>
  <c r="H65" i="1"/>
  <c r="I65" i="1" s="1"/>
  <c r="H10" i="1"/>
  <c r="I10" i="1" s="1"/>
  <c r="H11" i="1"/>
  <c r="I11" i="1" s="1"/>
  <c r="H83" i="1"/>
  <c r="I83" i="1" s="1"/>
  <c r="H64" i="1"/>
  <c r="I64" i="1" s="1"/>
  <c r="H5" i="1"/>
  <c r="I5" i="1" s="1"/>
  <c r="H93" i="1"/>
  <c r="I93" i="1" s="1"/>
  <c r="H106" i="1"/>
  <c r="I106" i="1" s="1"/>
  <c r="H41" i="1"/>
  <c r="I41" i="1" s="1"/>
  <c r="H119" i="1"/>
  <c r="I119" i="1" s="1"/>
  <c r="H50" i="1"/>
  <c r="I50" i="1" s="1"/>
  <c r="H22" i="1"/>
  <c r="I22" i="1" s="1"/>
  <c r="M3" i="1" l="1"/>
  <c r="J3" i="1"/>
  <c r="K2" i="1"/>
  <c r="M4" i="1" l="1"/>
  <c r="N3" i="1"/>
  <c r="J4" i="1"/>
  <c r="K3" i="1"/>
  <c r="M5" i="1" l="1"/>
  <c r="N4" i="1"/>
  <c r="J5" i="1"/>
  <c r="K4" i="1"/>
  <c r="M6" i="1" l="1"/>
  <c r="N5" i="1"/>
  <c r="J6" i="1"/>
  <c r="K5" i="1"/>
  <c r="M7" i="1" l="1"/>
  <c r="N6" i="1"/>
  <c r="J7" i="1"/>
  <c r="K6" i="1"/>
  <c r="M8" i="1" l="1"/>
  <c r="N7" i="1"/>
  <c r="J8" i="1"/>
  <c r="K7" i="1"/>
  <c r="M9" i="1" l="1"/>
  <c r="N8" i="1"/>
  <c r="J9" i="1"/>
  <c r="K8" i="1"/>
  <c r="M10" i="1" l="1"/>
  <c r="N9" i="1"/>
  <c r="J10" i="1"/>
  <c r="K9" i="1"/>
  <c r="M11" i="1" l="1"/>
  <c r="N10" i="1"/>
  <c r="J11" i="1"/>
  <c r="K10" i="1"/>
  <c r="M12" i="1" l="1"/>
  <c r="N11" i="1"/>
  <c r="J12" i="1"/>
  <c r="K11" i="1"/>
  <c r="M13" i="1" l="1"/>
  <c r="N12" i="1"/>
  <c r="K12" i="1"/>
  <c r="M14" i="1" l="1"/>
  <c r="N13" i="1"/>
  <c r="J14" i="1"/>
  <c r="K13" i="1"/>
  <c r="M15" i="1" l="1"/>
  <c r="N14" i="1"/>
  <c r="J15" i="1"/>
  <c r="K14" i="1"/>
  <c r="M16" i="1" l="1"/>
  <c r="N15" i="1"/>
  <c r="J16" i="1"/>
  <c r="K15" i="1"/>
  <c r="M17" i="1" l="1"/>
  <c r="N16" i="1"/>
  <c r="J17" i="1"/>
  <c r="K16" i="1"/>
  <c r="M18" i="1" l="1"/>
  <c r="N17" i="1"/>
  <c r="J18" i="1"/>
  <c r="K17" i="1"/>
  <c r="M19" i="1" l="1"/>
  <c r="N18" i="1"/>
  <c r="J19" i="1"/>
  <c r="K18" i="1"/>
  <c r="M20" i="1" l="1"/>
  <c r="N19" i="1"/>
  <c r="J20" i="1"/>
  <c r="K19" i="1"/>
  <c r="M21" i="1" l="1"/>
  <c r="N20" i="1"/>
  <c r="J21" i="1"/>
  <c r="K20" i="1"/>
  <c r="M22" i="1" l="1"/>
  <c r="N21" i="1"/>
  <c r="J22" i="1"/>
  <c r="K21" i="1"/>
  <c r="M23" i="1" l="1"/>
  <c r="N22" i="1"/>
  <c r="J23" i="1"/>
  <c r="K22" i="1"/>
  <c r="M24" i="1" l="1"/>
  <c r="N23" i="1"/>
  <c r="J24" i="1"/>
  <c r="K23" i="1"/>
  <c r="M25" i="1" l="1"/>
  <c r="N24" i="1"/>
  <c r="J25" i="1"/>
  <c r="K24" i="1"/>
  <c r="M26" i="1" l="1"/>
  <c r="N25" i="1"/>
  <c r="J26" i="1"/>
  <c r="K25" i="1"/>
  <c r="M27" i="1" l="1"/>
  <c r="N26" i="1"/>
  <c r="J27" i="1"/>
  <c r="K26" i="1"/>
  <c r="M28" i="1" l="1"/>
  <c r="N27" i="1"/>
  <c r="J28" i="1"/>
  <c r="K27" i="1"/>
  <c r="M29" i="1" l="1"/>
  <c r="N28" i="1"/>
  <c r="J29" i="1"/>
  <c r="K28" i="1"/>
  <c r="M30" i="1" l="1"/>
  <c r="N29" i="1"/>
  <c r="J30" i="1"/>
  <c r="K29" i="1"/>
  <c r="M31" i="1" l="1"/>
  <c r="N30" i="1"/>
  <c r="J31" i="1"/>
  <c r="K30" i="1"/>
  <c r="M32" i="1" l="1"/>
  <c r="N31" i="1"/>
  <c r="J32" i="1"/>
  <c r="K31" i="1"/>
  <c r="M33" i="1" l="1"/>
  <c r="N32" i="1"/>
  <c r="J33" i="1"/>
  <c r="K32" i="1"/>
  <c r="M34" i="1" l="1"/>
  <c r="N33" i="1"/>
  <c r="J34" i="1"/>
  <c r="K33" i="1"/>
  <c r="M35" i="1" l="1"/>
  <c r="N34" i="1"/>
  <c r="J35" i="1"/>
  <c r="K34" i="1"/>
  <c r="M36" i="1" l="1"/>
  <c r="N35" i="1"/>
  <c r="J36" i="1"/>
  <c r="K35" i="1"/>
  <c r="M37" i="1" l="1"/>
  <c r="N36" i="1"/>
  <c r="J37" i="1"/>
  <c r="K36" i="1"/>
  <c r="M38" i="1" l="1"/>
  <c r="N37" i="1"/>
  <c r="J38" i="1"/>
  <c r="K37" i="1"/>
  <c r="M39" i="1" l="1"/>
  <c r="N38" i="1"/>
  <c r="J39" i="1"/>
  <c r="K38" i="1"/>
  <c r="M40" i="1" l="1"/>
  <c r="N39" i="1"/>
  <c r="J40" i="1"/>
  <c r="K39" i="1"/>
  <c r="M41" i="1" l="1"/>
  <c r="N40" i="1"/>
  <c r="J41" i="1"/>
  <c r="K40" i="1"/>
  <c r="M42" i="1" l="1"/>
  <c r="N41" i="1"/>
  <c r="J42" i="1"/>
  <c r="K41" i="1"/>
  <c r="M43" i="1" l="1"/>
  <c r="N42" i="1"/>
  <c r="J43" i="1"/>
  <c r="K42" i="1"/>
  <c r="M44" i="1" l="1"/>
  <c r="N43" i="1"/>
  <c r="J44" i="1"/>
  <c r="K43" i="1"/>
  <c r="M45" i="1" l="1"/>
  <c r="N44" i="1"/>
  <c r="J45" i="1"/>
  <c r="K44" i="1"/>
  <c r="M46" i="1" l="1"/>
  <c r="N45" i="1"/>
  <c r="J46" i="1"/>
  <c r="K45" i="1"/>
  <c r="M47" i="1" l="1"/>
  <c r="N46" i="1"/>
  <c r="J47" i="1"/>
  <c r="K46" i="1"/>
  <c r="M48" i="1" l="1"/>
  <c r="N47" i="1"/>
  <c r="J48" i="1"/>
  <c r="K47" i="1"/>
  <c r="M49" i="1" l="1"/>
  <c r="N48" i="1"/>
  <c r="J49" i="1"/>
  <c r="K48" i="1"/>
  <c r="M50" i="1" l="1"/>
  <c r="N49" i="1"/>
  <c r="J50" i="1"/>
  <c r="K49" i="1"/>
  <c r="M51" i="1" l="1"/>
  <c r="N50" i="1"/>
  <c r="J51" i="1"/>
  <c r="K50" i="1"/>
  <c r="M52" i="1" l="1"/>
  <c r="N51" i="1"/>
  <c r="J52" i="1"/>
  <c r="K51" i="1"/>
  <c r="M53" i="1" l="1"/>
  <c r="N52" i="1"/>
  <c r="J53" i="1"/>
  <c r="K52" i="1"/>
  <c r="M54" i="1" l="1"/>
  <c r="N53" i="1"/>
  <c r="J54" i="1"/>
  <c r="K53" i="1"/>
  <c r="M55" i="1" l="1"/>
  <c r="N54" i="1"/>
  <c r="J55" i="1"/>
  <c r="K54" i="1"/>
  <c r="M56" i="1" l="1"/>
  <c r="N55" i="1"/>
  <c r="J56" i="1"/>
  <c r="K55" i="1"/>
  <c r="M57" i="1" l="1"/>
  <c r="N56" i="1"/>
  <c r="J57" i="1"/>
  <c r="K56" i="1"/>
  <c r="M58" i="1" l="1"/>
  <c r="N57" i="1"/>
  <c r="J58" i="1"/>
  <c r="K57" i="1"/>
  <c r="M59" i="1" l="1"/>
  <c r="N58" i="1"/>
  <c r="J59" i="1"/>
  <c r="K58" i="1"/>
  <c r="M60" i="1" l="1"/>
  <c r="N59" i="1"/>
  <c r="J60" i="1"/>
  <c r="K59" i="1"/>
  <c r="M61" i="1" l="1"/>
  <c r="N60" i="1"/>
  <c r="J61" i="1"/>
  <c r="K60" i="1"/>
  <c r="M62" i="1" l="1"/>
  <c r="N61" i="1"/>
  <c r="J62" i="1"/>
  <c r="K61" i="1"/>
  <c r="M63" i="1" l="1"/>
  <c r="N62" i="1"/>
  <c r="J63" i="1"/>
  <c r="K62" i="1"/>
  <c r="M64" i="1" l="1"/>
  <c r="N63" i="1"/>
  <c r="J64" i="1"/>
  <c r="K63" i="1"/>
  <c r="M65" i="1" l="1"/>
  <c r="N64" i="1"/>
  <c r="J65" i="1"/>
  <c r="K64" i="1"/>
  <c r="M66" i="1" l="1"/>
  <c r="N65" i="1"/>
  <c r="J66" i="1"/>
  <c r="K65" i="1"/>
  <c r="M67" i="1" l="1"/>
  <c r="N66" i="1"/>
  <c r="J67" i="1"/>
  <c r="K66" i="1"/>
  <c r="M68" i="1" l="1"/>
  <c r="N67" i="1"/>
  <c r="J68" i="1"/>
  <c r="K67" i="1"/>
  <c r="M69" i="1" l="1"/>
  <c r="N68" i="1"/>
  <c r="J69" i="1"/>
  <c r="K68" i="1"/>
  <c r="M70" i="1" l="1"/>
  <c r="N69" i="1"/>
  <c r="J70" i="1"/>
  <c r="K69" i="1"/>
  <c r="M71" i="1" l="1"/>
  <c r="N70" i="1"/>
  <c r="J71" i="1"/>
  <c r="K70" i="1"/>
  <c r="M72" i="1" l="1"/>
  <c r="N71" i="1"/>
  <c r="J72" i="1"/>
  <c r="K71" i="1"/>
  <c r="M73" i="1" l="1"/>
  <c r="N72" i="1"/>
  <c r="J73" i="1"/>
  <c r="K72" i="1"/>
  <c r="M74" i="1" l="1"/>
  <c r="N73" i="1"/>
  <c r="J74" i="1"/>
  <c r="K73" i="1"/>
  <c r="M75" i="1" l="1"/>
  <c r="N74" i="1"/>
  <c r="J75" i="1"/>
  <c r="K74" i="1"/>
  <c r="M76" i="1" l="1"/>
  <c r="N75" i="1"/>
  <c r="J76" i="1"/>
  <c r="K75" i="1"/>
  <c r="M77" i="1" l="1"/>
  <c r="N76" i="1"/>
  <c r="J77" i="1"/>
  <c r="K76" i="1"/>
  <c r="M78" i="1" l="1"/>
  <c r="N77" i="1"/>
  <c r="J78" i="1"/>
  <c r="K77" i="1"/>
  <c r="M79" i="1" l="1"/>
  <c r="N78" i="1"/>
  <c r="J79" i="1"/>
  <c r="K78" i="1"/>
  <c r="M80" i="1" l="1"/>
  <c r="N79" i="1"/>
  <c r="J80" i="1"/>
  <c r="K79" i="1"/>
  <c r="M81" i="1" l="1"/>
  <c r="N80" i="1"/>
  <c r="J81" i="1"/>
  <c r="K80" i="1"/>
  <c r="M82" i="1" l="1"/>
  <c r="N81" i="1"/>
  <c r="J82" i="1"/>
  <c r="K81" i="1"/>
  <c r="M83" i="1" l="1"/>
  <c r="N82" i="1"/>
  <c r="J83" i="1"/>
  <c r="K82" i="1"/>
  <c r="M84" i="1" l="1"/>
  <c r="N83" i="1"/>
  <c r="J84" i="1"/>
  <c r="K83" i="1"/>
  <c r="M85" i="1" l="1"/>
  <c r="N84" i="1"/>
  <c r="J85" i="1"/>
  <c r="K84" i="1"/>
  <c r="M86" i="1" l="1"/>
  <c r="N85" i="1"/>
  <c r="J86" i="1"/>
  <c r="K85" i="1"/>
  <c r="M87" i="1" l="1"/>
  <c r="N86" i="1"/>
  <c r="J87" i="1"/>
  <c r="K86" i="1"/>
  <c r="M88" i="1" l="1"/>
  <c r="N87" i="1"/>
  <c r="J88" i="1"/>
  <c r="K87" i="1"/>
  <c r="M89" i="1" l="1"/>
  <c r="N88" i="1"/>
  <c r="J89" i="1"/>
  <c r="K88" i="1"/>
  <c r="M90" i="1" l="1"/>
  <c r="N89" i="1"/>
  <c r="J90" i="1"/>
  <c r="K89" i="1"/>
  <c r="M91" i="1" l="1"/>
  <c r="N90" i="1"/>
  <c r="J91" i="1"/>
  <c r="K90" i="1"/>
  <c r="M92" i="1" l="1"/>
  <c r="N91" i="1"/>
  <c r="J92" i="1"/>
  <c r="K91" i="1"/>
  <c r="M93" i="1" l="1"/>
  <c r="N92" i="1"/>
  <c r="J93" i="1"/>
  <c r="K92" i="1"/>
  <c r="M94" i="1" l="1"/>
  <c r="N93" i="1"/>
  <c r="J94" i="1"/>
  <c r="K93" i="1"/>
  <c r="M95" i="1" l="1"/>
  <c r="N94" i="1"/>
  <c r="J95" i="1"/>
  <c r="K94" i="1"/>
  <c r="M96" i="1" l="1"/>
  <c r="N95" i="1"/>
  <c r="J96" i="1"/>
  <c r="K95" i="1"/>
  <c r="M97" i="1" l="1"/>
  <c r="N96" i="1"/>
  <c r="J97" i="1"/>
  <c r="K96" i="1"/>
  <c r="M98" i="1" l="1"/>
  <c r="N97" i="1"/>
  <c r="J98" i="1"/>
  <c r="K97" i="1"/>
  <c r="M99" i="1" l="1"/>
  <c r="N98" i="1"/>
  <c r="J99" i="1"/>
  <c r="K98" i="1"/>
  <c r="M100" i="1" l="1"/>
  <c r="N99" i="1"/>
  <c r="J100" i="1"/>
  <c r="K99" i="1"/>
  <c r="M101" i="1" l="1"/>
  <c r="N100" i="1"/>
  <c r="J101" i="1"/>
  <c r="K100" i="1"/>
  <c r="M102" i="1" l="1"/>
  <c r="N101" i="1"/>
  <c r="J102" i="1"/>
  <c r="K101" i="1"/>
  <c r="M103" i="1" l="1"/>
  <c r="N102" i="1"/>
  <c r="J103" i="1"/>
  <c r="K102" i="1"/>
  <c r="M104" i="1" l="1"/>
  <c r="N103" i="1"/>
  <c r="J104" i="1"/>
  <c r="K103" i="1"/>
  <c r="M105" i="1" l="1"/>
  <c r="N104" i="1"/>
  <c r="J105" i="1"/>
  <c r="K104" i="1"/>
  <c r="M106" i="1" l="1"/>
  <c r="N105" i="1"/>
  <c r="J106" i="1"/>
  <c r="K105" i="1"/>
  <c r="M107" i="1" l="1"/>
  <c r="N106" i="1"/>
  <c r="J107" i="1"/>
  <c r="K106" i="1"/>
  <c r="M108" i="1" l="1"/>
  <c r="N107" i="1"/>
  <c r="J108" i="1"/>
  <c r="K107" i="1"/>
  <c r="M109" i="1" l="1"/>
  <c r="N108" i="1"/>
  <c r="J109" i="1"/>
  <c r="K108" i="1"/>
  <c r="M110" i="1" l="1"/>
  <c r="N109" i="1"/>
  <c r="J110" i="1"/>
  <c r="K109" i="1"/>
  <c r="M111" i="1" l="1"/>
  <c r="N110" i="1"/>
  <c r="J111" i="1"/>
  <c r="K110" i="1"/>
  <c r="M112" i="1" l="1"/>
  <c r="N111" i="1"/>
  <c r="J112" i="1"/>
  <c r="K111" i="1"/>
  <c r="M113" i="1" l="1"/>
  <c r="N112" i="1"/>
  <c r="J113" i="1"/>
  <c r="K112" i="1"/>
  <c r="M114" i="1" l="1"/>
  <c r="N113" i="1"/>
  <c r="J114" i="1"/>
  <c r="K113" i="1"/>
  <c r="M115" i="1" l="1"/>
  <c r="N114" i="1"/>
  <c r="J115" i="1"/>
  <c r="K114" i="1"/>
  <c r="M116" i="1" l="1"/>
  <c r="N115" i="1"/>
  <c r="J116" i="1"/>
  <c r="K115" i="1"/>
  <c r="M117" i="1" l="1"/>
  <c r="N116" i="1"/>
  <c r="J117" i="1"/>
  <c r="K116" i="1"/>
  <c r="M118" i="1" l="1"/>
  <c r="N117" i="1"/>
  <c r="J118" i="1"/>
  <c r="K117" i="1"/>
  <c r="M119" i="1" l="1"/>
  <c r="N118" i="1"/>
  <c r="J119" i="1"/>
  <c r="K118" i="1"/>
  <c r="M120" i="1" l="1"/>
  <c r="N119" i="1"/>
  <c r="J120" i="1"/>
  <c r="K119" i="1"/>
  <c r="M121" i="1" l="1"/>
  <c r="N120" i="1"/>
  <c r="J121" i="1"/>
  <c r="K120" i="1"/>
  <c r="M122" i="1" l="1"/>
  <c r="N121" i="1"/>
  <c r="J122" i="1"/>
  <c r="K121" i="1"/>
  <c r="M123" i="1" l="1"/>
  <c r="N122" i="1"/>
  <c r="J123" i="1"/>
  <c r="K122" i="1"/>
  <c r="M124" i="1" l="1"/>
  <c r="N123" i="1"/>
  <c r="J124" i="1"/>
  <c r="J125" i="1" s="1"/>
  <c r="K125" i="1" s="1"/>
  <c r="K123" i="1"/>
  <c r="N124" i="1" l="1"/>
  <c r="M125" i="1"/>
  <c r="N125" i="1" s="1"/>
  <c r="K1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<sst xmlns="http://schemas.openxmlformats.org/spreadsheetml/2006/main" count="8" uniqueCount="8">
  <si>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Date</t>
  </si>
  <si>
    <t>US Agg</t>
  </si>
  <si>
    <t>Corp HY</t>
  </si>
  <si>
    <t>HFRI</t>
  </si>
  <si>
    <t>Global Agg</t>
  </si>
  <si>
    <t>MSCI ACWI</t>
  </si>
  <si>
    <t>75/25 GlobalAgg/MSCi ACWI</t>
  </si>
  <si>
    <t>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</si>
</sst>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color rgb="FF1A1A1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0" applyNumberFormat="1"/>
    <xf numFmtId="10" fontId="3" fillId="0" borderId="0" xfId="1" applyNumberFormat="1" applyFont="1"/>
    <xf numFmtId="165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FC2A-C4A2-411A-A5E5-E1D5623D1F70}">
  <dimension ref="A1:N125"/>
  <sheetViews>
    <sheetView tabSelected="1" workbookViewId="0">
      <pane ySplit="1" topLeftCell="A114" activePane="bottomLeft" state="frozen"/>
      <selection pane="bottomLeft" sqref="A1:XFD1"/>
    </sheetView>
  </sheetViews>
  <sheetFormatPr defaultRowHeight="15" x14ac:dyDescent="0.25"/>
  <cols>
    <col min="1" max="1" width="10.7109375" bestFit="1" customWidth="1"/>
    <col min="2" max="2" width="10.7109375" customWidth="1"/>
  </cols>
  <sheetData>
    <row r="1" spans="1:14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>
        <v>1000</v>
      </c>
      <c r="M1">
        <v>1000</v>
      </c>
    </row>
    <row r="2" spans="1:14" x14ac:dyDescent="0.25">
      <c r="A2" s="2">
        <v>42308</v>
      </c>
      <c r="B2" s="3" cm="1">
        <f t="array" aca="1" ref="B2" ca="1">_xll.YCP("^SPX", "total_monthly_return",A2)</f>
        <v>8.4353999999999998E-2</v>
      </c>
      <c r="C2" s="3" cm="1">
        <f t="array" aca="1" ref="C2" ca="1">_xll.YCP("^BBUSATR", "total_monthly_return",A2)</f>
        <v>1.66E-4</v>
      </c>
      <c r="D2" s="3" cm="1">
        <f t="array" aca="1" ref="D2" ca="1">_xll.YCP("^BBUSCOHYTR", "total_monthly_return",A2)</f>
        <v>2.7491000000000002E-2</v>
      </c>
      <c r="E2">
        <v>1.7299999999999999E-2</v>
      </c>
      <c r="F2" s="3" cm="1">
        <f t="array" aca="1" ref="F2" ca="1">_xll.YCP("^BBGATR", "total_monthly_return",A2)</f>
        <v>2.1120000000000002E-3</v>
      </c>
      <c r="G2" s="3" cm="1">
        <f t="array" aca="1" ref="G2" ca="1">_xll.YCP("^MSACWI", "total_monthly_return",A2)</f>
        <v>7.8750000000000001E-2</v>
      </c>
      <c r="H2" s="4">
        <f ca="1">0.75*F2+0.25*G2</f>
        <v>2.1271499999999999E-2</v>
      </c>
      <c r="I2">
        <f ca="1">(0.25*G2)+(H2*0.75)</f>
        <v>3.5641124999999996E-2</v>
      </c>
      <c r="J2">
        <f ca="1">J1*(1+I2)</f>
        <v>1035.6411249999999</v>
      </c>
      <c r="K2" s="5">
        <f ca="1">(J2-1000)/1000</f>
        <v>3.5641124999999878E-2</v>
      </c>
      <c r="L2">
        <f ca="1">(0.4*B2)+(C2*0.6)</f>
        <v>3.3841200000000002E-2</v>
      </c>
      <c r="M2">
        <f ca="1">M1*(1+L2)</f>
        <v>1033.8411999999998</v>
      </c>
      <c r="N2" s="5">
        <f ca="1">(M2-1000)/1000</f>
        <v>3.3841199999999842E-2</v>
      </c>
    </row>
    <row r="3" spans="1:14" x14ac:dyDescent="0.25">
      <c r="A3" s="2">
        <v>42338</v>
      </c>
      <c r="B3" s="3" cm="1">
        <f t="array" aca="1" ref="B3" ca="1">_xll.YCP("^SPX", "total_monthly_return",A3)</f>
        <v>2.9740000000000001E-3</v>
      </c>
      <c r="C3" s="3" cm="1">
        <f t="array" aca="1" ref="C3" ca="1">_xll.YCP("^BBUSATR", "total_monthly_return",A3)</f>
        <v>-2.6419999999999998E-3</v>
      </c>
      <c r="D3" s="3" cm="1">
        <f t="array" aca="1" ref="D3" ca="1">_xll.YCP("^BBUSCOHYTR", "total_monthly_return",A3)</f>
        <v>-2.2228999999999999E-2</v>
      </c>
      <c r="E3">
        <v>1.6000000000000001E-3</v>
      </c>
      <c r="F3" s="3" cm="1">
        <f t="array" aca="1" ref="F3" ca="1">_xll.YCP("^BBGATR", "total_monthly_return",A3)</f>
        <v>-1.6556000000000001E-2</v>
      </c>
      <c r="G3" s="3" cm="1">
        <f t="array" aca="1" ref="G3" ca="1">_xll.YCP("^MSACWI", "total_monthly_return",A3)</f>
        <v>-7.8120000000000004E-3</v>
      </c>
      <c r="H3" s="4">
        <f t="shared" ref="H3:H66" ca="1" si="0">0.75*F3+0.25*G3</f>
        <v>-1.4370000000000001E-2</v>
      </c>
      <c r="I3">
        <f t="shared" ref="I3:I66" ca="1" si="1">(0.25*G3)+(H3*0.75)</f>
        <v>-1.27305E-2</v>
      </c>
      <c r="J3">
        <f ca="1">J2*(1+I3)</f>
        <v>1022.4568956581874</v>
      </c>
      <c r="K3" s="5">
        <f ca="1">(J3-1000)/1000</f>
        <v>2.2456895658187363E-2</v>
      </c>
      <c r="L3">
        <f t="shared" ref="L3:L66" ca="1" si="2">(0.4*B3)+(C3*0.6)</f>
        <v>-3.9559999999999986E-4</v>
      </c>
      <c r="M3">
        <f ca="1">M2*(1+L3)</f>
        <v>1033.4322124212797</v>
      </c>
      <c r="N3" s="5">
        <f ca="1">(M3-1000)/1000</f>
        <v>3.3432212421279701E-2</v>
      </c>
    </row>
    <row r="4" spans="1:14" x14ac:dyDescent="0.25">
      <c r="A4" s="2">
        <v>42369</v>
      </c>
      <c r="B4" s="3" cm="1">
        <f t="array" aca="1" ref="B4" ca="1">_xll.YCP("^SPX", "total_monthly_return",A4)</f>
        <v>-1.5772000000000001E-2</v>
      </c>
      <c r="C4" s="3" cm="1">
        <f t="array" aca="1" ref="C4" ca="1">_xll.YCP("^BBUSATR", "total_monthly_return",A4)</f>
        <v>-3.2320000000000001E-3</v>
      </c>
      <c r="D4" s="3" cm="1">
        <f t="array" aca="1" ref="D4" ca="1">_xll.YCP("^BBUSCOHYTR", "total_monthly_return",A4)</f>
        <v>-2.5186E-2</v>
      </c>
      <c r="E4">
        <v>-1.15E-2</v>
      </c>
      <c r="F4" s="3" cm="1">
        <f t="array" aca="1" ref="F4" ca="1">_xll.YCP("^BBGATR", "total_monthly_return",A4)</f>
        <v>5.3150000000000003E-3</v>
      </c>
      <c r="G4" s="3" cm="1">
        <f t="array" aca="1" ref="G4" ca="1">_xll.YCP("^MSACWI", "total_monthly_return",A4)</f>
        <v>-1.7614000000000001E-2</v>
      </c>
      <c r="H4" s="4">
        <f t="shared" ca="1" si="0"/>
        <v>-4.1725000000000009E-4</v>
      </c>
      <c r="I4">
        <f t="shared" ca="1" si="1"/>
        <v>-4.7164375000000001E-3</v>
      </c>
      <c r="J4">
        <f t="shared" ref="J4:J67" ca="1" si="3">J3*(1+I4)</f>
        <v>1017.6345416133715</v>
      </c>
      <c r="K4" s="5">
        <f t="shared" ref="K4:K67" ca="1" si="4">(J4-1000)/1000</f>
        <v>1.7634541613371538E-2</v>
      </c>
      <c r="L4">
        <f t="shared" ca="1" si="2"/>
        <v>-8.2480000000000001E-3</v>
      </c>
      <c r="M4">
        <f t="shared" ref="M4:M67" ca="1" si="5">M3*(1+L4)</f>
        <v>1024.908463533229</v>
      </c>
      <c r="N4" s="5">
        <f t="shared" ref="N4:N67" ca="1" si="6">(M4-1000)/1000</f>
        <v>2.4908463533228998E-2</v>
      </c>
    </row>
    <row r="5" spans="1:14" x14ac:dyDescent="0.25">
      <c r="A5" s="2">
        <v>42400</v>
      </c>
      <c r="B5" s="3" cm="1">
        <f t="array" aca="1" ref="B5" ca="1">_xll.YCP("^SPX", "total_monthly_return",A5)</f>
        <v>-4.9624000000000001E-2</v>
      </c>
      <c r="C5" s="3" cm="1">
        <f t="array" aca="1" ref="C5" ca="1">_xll.YCP("^BBUSATR", "total_monthly_return",A5)</f>
        <v>1.3761000000000001E-2</v>
      </c>
      <c r="D5" s="3" cm="1">
        <f t="array" aca="1" ref="D5" ca="1">_xll.YCP("^BBUSCOHYTR", "total_monthly_return",A5)</f>
        <v>-1.6070999999999998E-2</v>
      </c>
      <c r="E5">
        <v>-2.5999999999999999E-2</v>
      </c>
      <c r="F5" s="3" cm="1">
        <f t="array" aca="1" ref="F5" ca="1">_xll.YCP("^BBGATR", "total_monthly_return",A5)</f>
        <v>8.6660000000000001E-3</v>
      </c>
      <c r="G5" s="3" cm="1">
        <f t="array" aca="1" ref="G5" ca="1">_xll.YCP("^MSACWI", "total_monthly_return",A5)</f>
        <v>-6.0075999999999997E-2</v>
      </c>
      <c r="H5" s="4">
        <f t="shared" ca="1" si="0"/>
        <v>-8.5194999999999993E-3</v>
      </c>
      <c r="I5">
        <f t="shared" ca="1" si="1"/>
        <v>-2.1408625000000001E-2</v>
      </c>
      <c r="J5">
        <f t="shared" ca="1" si="3"/>
        <v>995.84838532492404</v>
      </c>
      <c r="K5" s="5">
        <f t="shared" ca="1" si="4"/>
        <v>-4.1516146750759618E-3</v>
      </c>
      <c r="L5">
        <f t="shared" ca="1" si="2"/>
        <v>-1.1593000000000003E-2</v>
      </c>
      <c r="M5">
        <f t="shared" ca="1" si="5"/>
        <v>1013.0266997154883</v>
      </c>
      <c r="N5" s="5">
        <f t="shared" ca="1" si="6"/>
        <v>1.3026699715488348E-2</v>
      </c>
    </row>
    <row r="6" spans="1:14" x14ac:dyDescent="0.25">
      <c r="A6" s="2">
        <v>42429</v>
      </c>
      <c r="B6" s="3" cm="1">
        <f t="array" aca="1" ref="B6" ca="1">_xll.YCP("^SPX", "total_monthly_return",A6)</f>
        <v>-1.3489999999999999E-3</v>
      </c>
      <c r="C6" s="3" cm="1">
        <f t="array" aca="1" ref="C6" ca="1">_xll.YCP("^BBUSATR", "total_monthly_return",A6)</f>
        <v>7.0939999999999996E-3</v>
      </c>
      <c r="D6" s="3" cm="1">
        <f t="array" aca="1" ref="D6" ca="1">_xll.YCP("^BBUSCOHYTR", "total_monthly_return",A6)</f>
        <v>5.7159999999999997E-3</v>
      </c>
      <c r="E6">
        <v>-2.9999999999999997E-4</v>
      </c>
      <c r="F6" s="3" cm="1">
        <f t="array" aca="1" ref="F6" ca="1">_xll.YCP("^BBGATR", "total_monthly_return",A6)</f>
        <v>2.2268E-2</v>
      </c>
      <c r="G6" s="3" cm="1">
        <f t="array" aca="1" ref="G6" ca="1">_xll.YCP("^MSACWI", "total_monthly_return",A6)</f>
        <v>-6.3220000000000004E-3</v>
      </c>
      <c r="H6" s="4">
        <f t="shared" ca="1" si="0"/>
        <v>1.51205E-2</v>
      </c>
      <c r="I6">
        <f t="shared" ca="1" si="1"/>
        <v>9.7598749999999995E-3</v>
      </c>
      <c r="J6">
        <f t="shared" ca="1" si="3"/>
        <v>1005.5677410846472</v>
      </c>
      <c r="K6" s="5">
        <f t="shared" ca="1" si="4"/>
        <v>5.5677410846471957E-3</v>
      </c>
      <c r="L6">
        <f t="shared" ca="1" si="2"/>
        <v>3.7167999999999997E-3</v>
      </c>
      <c r="M6">
        <f t="shared" ca="1" si="5"/>
        <v>1016.7919173529909</v>
      </c>
      <c r="N6" s="5">
        <f t="shared" ca="1" si="6"/>
        <v>1.6791917352990935E-2</v>
      </c>
    </row>
    <row r="7" spans="1:14" x14ac:dyDescent="0.25">
      <c r="A7" s="2">
        <v>42460</v>
      </c>
      <c r="B7" s="3" cm="1">
        <f t="array" aca="1" ref="B7" ca="1">_xll.YCP("^SPX", "total_monthly_return",A7)</f>
        <v>6.7837999999999996E-2</v>
      </c>
      <c r="C7" s="3" cm="1">
        <f t="array" aca="1" ref="C7" ca="1">_xll.YCP("^BBUSATR", "total_monthly_return",A7)</f>
        <v>9.1750000000000009E-3</v>
      </c>
      <c r="D7" s="3" cm="1">
        <f t="array" aca="1" ref="D7" ca="1">_xll.YCP("^BBUSCOHYTR", "total_monthly_return",A7)</f>
        <v>4.4443000000000003E-2</v>
      </c>
      <c r="E7">
        <v>2.0799999999999999E-2</v>
      </c>
      <c r="F7" s="3" cm="1">
        <f t="array" aca="1" ref="F7" ca="1">_xll.YCP("^BBGATR", "total_monthly_return",A7)</f>
        <v>2.7022999999999998E-2</v>
      </c>
      <c r="G7" s="3" cm="1">
        <f t="array" aca="1" ref="G7" ca="1">_xll.YCP("^MSACWI", "total_monthly_return",A7)</f>
        <v>7.4797000000000002E-2</v>
      </c>
      <c r="H7" s="4">
        <f t="shared" ca="1" si="0"/>
        <v>3.8966500000000001E-2</v>
      </c>
      <c r="I7">
        <f t="shared" ca="1" si="1"/>
        <v>4.7924124999999998E-2</v>
      </c>
      <c r="J7">
        <f t="shared" ca="1" si="3"/>
        <v>1053.7586952043555</v>
      </c>
      <c r="K7" s="5">
        <f t="shared" ca="1" si="4"/>
        <v>5.3758695204355493E-2</v>
      </c>
      <c r="L7">
        <f t="shared" ca="1" si="2"/>
        <v>3.2640200000000001E-2</v>
      </c>
      <c r="M7">
        <f t="shared" ca="1" si="5"/>
        <v>1049.9802088937759</v>
      </c>
      <c r="N7" s="5">
        <f t="shared" ca="1" si="6"/>
        <v>4.998020889377585E-2</v>
      </c>
    </row>
    <row r="8" spans="1:14" x14ac:dyDescent="0.25">
      <c r="A8" s="2">
        <v>42490</v>
      </c>
      <c r="B8" s="3" cm="1">
        <f t="array" aca="1" ref="B8" ca="1">_xll.YCP("^SPX", "total_monthly_return",A8)</f>
        <v>3.8769999999999998E-3</v>
      </c>
      <c r="C8" s="3" cm="1">
        <f t="array" aca="1" ref="C8" ca="1">_xll.YCP("^BBUSATR", "total_monthly_return",A8)</f>
        <v>3.8379999999999998E-3</v>
      </c>
      <c r="D8" s="3" cm="1">
        <f t="array" aca="1" ref="D8" ca="1">_xll.YCP("^BBUSCOHYTR", "total_monthly_return",A8)</f>
        <v>3.9150999999999998E-2</v>
      </c>
      <c r="E8">
        <v>1.03E-2</v>
      </c>
      <c r="F8" s="3" cm="1">
        <f t="array" aca="1" ref="F8" ca="1">_xll.YCP("^BBGATR", "total_monthly_return",A8)</f>
        <v>1.3301E-2</v>
      </c>
      <c r="G8" s="3" cm="1">
        <f t="array" aca="1" ref="G8" ca="1">_xll.YCP("^MSACWI", "total_monthly_return",A8)</f>
        <v>1.5351999999999999E-2</v>
      </c>
      <c r="H8" s="4">
        <f t="shared" ca="1" si="0"/>
        <v>1.381375E-2</v>
      </c>
      <c r="I8">
        <f t="shared" ca="1" si="1"/>
        <v>1.4198312499999999E-2</v>
      </c>
      <c r="J8">
        <f t="shared" ca="1" si="3"/>
        <v>1068.7202904584592</v>
      </c>
      <c r="K8" s="5">
        <f t="shared" ca="1" si="4"/>
        <v>6.8720290458459204E-2</v>
      </c>
      <c r="L8">
        <f t="shared" ca="1" si="2"/>
        <v>3.8535999999999996E-3</v>
      </c>
      <c r="M8">
        <f t="shared" ca="1" si="5"/>
        <v>1054.0264126267689</v>
      </c>
      <c r="N8" s="5">
        <f t="shared" ca="1" si="6"/>
        <v>5.402641262676889E-2</v>
      </c>
    </row>
    <row r="9" spans="1:14" x14ac:dyDescent="0.25">
      <c r="A9" s="2">
        <v>42521</v>
      </c>
      <c r="B9" s="3" cm="1">
        <f t="array" aca="1" ref="B9" ca="1">_xll.YCP("^SPX", "total_monthly_return",A9)</f>
        <v>1.7957999999999998E-2</v>
      </c>
      <c r="C9" s="3" cm="1">
        <f t="array" aca="1" ref="C9" ca="1">_xll.YCP("^BBUSATR", "total_monthly_return",A9)</f>
        <v>2.5599999999999999E-4</v>
      </c>
      <c r="D9" s="3" cm="1">
        <f t="array" aca="1" ref="D9" ca="1">_xll.YCP("^BBUSCOHYTR", "total_monthly_return",A9)</f>
        <v>6.1749999999999999E-3</v>
      </c>
      <c r="E9">
        <v>3.7000000000000002E-3</v>
      </c>
      <c r="F9" s="3" cm="1">
        <f t="array" aca="1" ref="F9" ca="1">_xll.YCP("^BBGATR", "total_monthly_return",A9)</f>
        <v>-1.3415E-2</v>
      </c>
      <c r="G9" s="3" cm="1">
        <f t="array" aca="1" ref="G9" ca="1">_xll.YCP("^MSACWI", "total_monthly_return",A9)</f>
        <v>2.1080000000000001E-3</v>
      </c>
      <c r="H9" s="4">
        <f t="shared" ca="1" si="0"/>
        <v>-9.5342500000000011E-3</v>
      </c>
      <c r="I9">
        <f t="shared" ca="1" si="1"/>
        <v>-6.6236875000000011E-3</v>
      </c>
      <c r="J9">
        <f t="shared" ca="1" si="3"/>
        <v>1061.6414212295531</v>
      </c>
      <c r="K9" s="5">
        <f t="shared" ca="1" si="4"/>
        <v>6.1641421229553087E-2</v>
      </c>
      <c r="L9">
        <f t="shared" ca="1" si="2"/>
        <v>7.3368000000000001E-3</v>
      </c>
      <c r="M9">
        <f t="shared" ca="1" si="5"/>
        <v>1061.759593610929</v>
      </c>
      <c r="N9" s="5">
        <f t="shared" ca="1" si="6"/>
        <v>6.1759593610928962E-2</v>
      </c>
    </row>
    <row r="10" spans="1:14" x14ac:dyDescent="0.25">
      <c r="A10" s="2">
        <v>42551</v>
      </c>
      <c r="B10" s="3" cm="1">
        <f t="array" aca="1" ref="B10" ca="1">_xll.YCP("^SPX", "total_monthly_return",A10)</f>
        <v>2.591E-3</v>
      </c>
      <c r="C10" s="3" cm="1">
        <f t="array" aca="1" ref="C10" ca="1">_xll.YCP("^BBUSATR", "total_monthly_return",A10)</f>
        <v>1.7968000000000001E-2</v>
      </c>
      <c r="D10" s="3" cm="1">
        <f t="array" aca="1" ref="D10" ca="1">_xll.YCP("^BBUSCOHYTR", "total_monthly_return",A10)</f>
        <v>9.2029999999999994E-3</v>
      </c>
      <c r="E10">
        <v>4.1000000000000003E-3</v>
      </c>
      <c r="F10" s="3" cm="1">
        <f t="array" aca="1" ref="F10" ca="1">_xll.YCP("^BBGATR", "total_monthly_return",A10)</f>
        <v>2.9201999999999999E-2</v>
      </c>
      <c r="G10" s="3" cm="1">
        <f t="array" aca="1" ref="G10" ca="1">_xll.YCP("^MSACWI", "total_monthly_return",A10)</f>
        <v>-5.5269999999999998E-3</v>
      </c>
      <c r="H10" s="4">
        <f t="shared" ca="1" si="0"/>
        <v>2.0519749999999996E-2</v>
      </c>
      <c r="I10">
        <f t="shared" ca="1" si="1"/>
        <v>1.4008062499999998E-2</v>
      </c>
      <c r="J10">
        <f t="shared" ca="1" si="3"/>
        <v>1076.5129606107255</v>
      </c>
      <c r="K10" s="5">
        <f t="shared" ca="1" si="4"/>
        <v>7.6512960610725489E-2</v>
      </c>
      <c r="L10">
        <f t="shared" ca="1" si="2"/>
        <v>1.18172E-2</v>
      </c>
      <c r="M10">
        <f t="shared" ca="1" si="5"/>
        <v>1074.3066190805482</v>
      </c>
      <c r="N10" s="5">
        <f t="shared" ca="1" si="6"/>
        <v>7.4306619080548211E-2</v>
      </c>
    </row>
    <row r="11" spans="1:14" x14ac:dyDescent="0.25">
      <c r="A11" s="2">
        <v>42582</v>
      </c>
      <c r="B11" s="3" cm="1">
        <f t="array" aca="1" ref="B11" ca="1">_xll.YCP("^SPX", "total_monthly_return",A11)</f>
        <v>3.6868999999999999E-2</v>
      </c>
      <c r="C11" s="3" cm="1">
        <f t="array" aca="1" ref="C11" ca="1">_xll.YCP("^BBUSATR", "total_monthly_return",A11)</f>
        <v>6.3220000000000004E-3</v>
      </c>
      <c r="D11" s="3" cm="1">
        <f t="array" aca="1" ref="D11" ca="1">_xll.YCP("^BBUSCOHYTR", "total_monthly_return",A11)</f>
        <v>2.7039000000000001E-2</v>
      </c>
      <c r="E11">
        <v>1.8800000000000001E-2</v>
      </c>
      <c r="F11" s="3" cm="1">
        <f t="array" aca="1" ref="F11" ca="1">_xll.YCP("^BBGATR", "total_monthly_return",A11)</f>
        <v>7.5380000000000004E-3</v>
      </c>
      <c r="G11" s="3" cm="1">
        <f t="array" aca="1" ref="G11" ca="1">_xll.YCP("^MSACWI", "total_monthly_return",A11)</f>
        <v>4.3397999999999999E-2</v>
      </c>
      <c r="H11" s="4">
        <f t="shared" ca="1" si="0"/>
        <v>1.6503E-2</v>
      </c>
      <c r="I11">
        <f t="shared" ca="1" si="1"/>
        <v>2.3226749999999997E-2</v>
      </c>
      <c r="J11">
        <f t="shared" ca="1" si="3"/>
        <v>1101.5168580185907</v>
      </c>
      <c r="K11" s="5">
        <f t="shared" ca="1" si="4"/>
        <v>0.10151685801859071</v>
      </c>
      <c r="L11">
        <f t="shared" ca="1" si="2"/>
        <v>1.85408E-2</v>
      </c>
      <c r="M11">
        <f t="shared" ca="1" si="5"/>
        <v>1094.225123243597</v>
      </c>
      <c r="N11" s="5">
        <f t="shared" ca="1" si="6"/>
        <v>9.4225123243596956E-2</v>
      </c>
    </row>
    <row r="12" spans="1:14" x14ac:dyDescent="0.25">
      <c r="A12" s="2">
        <v>42613</v>
      </c>
      <c r="B12" s="3" cm="1">
        <f t="array" aca="1" ref="B12" ca="1">_xll.YCP("^SPX", "total_monthly_return",A12)</f>
        <v>1.4040000000000001E-3</v>
      </c>
      <c r="C12" s="3" cm="1">
        <f t="array" aca="1" ref="C12" ca="1">_xll.YCP("^BBUSATR", "total_monthly_return",A12)</f>
        <v>-1.1440000000000001E-3</v>
      </c>
      <c r="D12" s="3" cm="1">
        <f t="array" aca="1" ref="D12" ca="1">_xll.YCP("^BBUSCOHYTR", "total_monthly_return",A12)</f>
        <v>2.0919E-2</v>
      </c>
      <c r="E12">
        <v>4.3E-3</v>
      </c>
      <c r="F12" s="3" cm="1">
        <f t="array" aca="1" ref="F12" ca="1">_xll.YCP("^BBGATR", "total_monthly_return",A12)</f>
        <v>-4.8570000000000002E-3</v>
      </c>
      <c r="G12" s="3" cm="1">
        <f t="array" aca="1" ref="G12" ca="1">_xll.YCP("^MSACWI", "total_monthly_return",A12)</f>
        <v>3.8500000000000001E-3</v>
      </c>
      <c r="H12" s="4">
        <f t="shared" ca="1" si="0"/>
        <v>-2.6802500000000003E-3</v>
      </c>
      <c r="I12">
        <f t="shared" ca="1" si="1"/>
        <v>-1.0476875000000002E-3</v>
      </c>
      <c r="J12">
        <f t="shared" ca="1" si="3"/>
        <v>1100.3628125754053</v>
      </c>
      <c r="K12" s="5">
        <f t="shared" ca="1" si="4"/>
        <v>0.10036281257540532</v>
      </c>
      <c r="L12">
        <f t="shared" ca="1" si="2"/>
        <v>-1.2479999999999989E-4</v>
      </c>
      <c r="M12">
        <f t="shared" ca="1" si="5"/>
        <v>1094.088563948216</v>
      </c>
      <c r="N12" s="5">
        <f t="shared" ca="1" si="6"/>
        <v>9.4088563948216006E-2</v>
      </c>
    </row>
    <row r="13" spans="1:14" x14ac:dyDescent="0.25">
      <c r="A13" s="2">
        <v>42643</v>
      </c>
      <c r="B13" s="3" cm="1">
        <f t="array" aca="1" ref="B13" ca="1">_xll.YCP("^SPX", "total_monthly_return",A13)</f>
        <v>1.8900000000000001E-4</v>
      </c>
      <c r="C13" s="3" cm="1">
        <f t="array" aca="1" ref="C13" ca="1">_xll.YCP("^BBUSATR", "total_monthly_return",A13)</f>
        <v>-5.8600000000000004E-4</v>
      </c>
      <c r="D13" s="3" cm="1">
        <f t="array" aca="1" ref="D13" ca="1">_xll.YCP("^BBUSCOHYTR", "total_monthly_return",A13)</f>
        <v>6.6649999999999999E-3</v>
      </c>
      <c r="E13">
        <v>6.4999999999999997E-3</v>
      </c>
      <c r="F13" s="3" cm="1">
        <f t="array" aca="1" ref="F13" ca="1">_xll.YCP("^BBGATR", "total_monthly_return",A13)</f>
        <v>5.5059999999999996E-3</v>
      </c>
      <c r="G13" s="3" cm="1">
        <f t="array" aca="1" ref="G13" ca="1">_xll.YCP("^MSACWI", "total_monthly_return",A13)</f>
        <v>6.5630000000000003E-3</v>
      </c>
      <c r="H13" s="4">
        <f t="shared" ca="1" si="0"/>
        <v>5.7702499999999993E-3</v>
      </c>
      <c r="I13">
        <f t="shared" ca="1" si="1"/>
        <v>5.9684374999999998E-3</v>
      </c>
      <c r="J13">
        <v>1000</v>
      </c>
      <c r="K13" s="5">
        <f t="shared" si="4"/>
        <v>0</v>
      </c>
      <c r="L13">
        <f t="shared" ca="1" si="2"/>
        <v>-2.7600000000000004E-4</v>
      </c>
      <c r="M13">
        <f t="shared" ca="1" si="5"/>
        <v>1093.7865955045663</v>
      </c>
      <c r="N13" s="5">
        <f t="shared" ca="1" si="6"/>
        <v>9.378659550456632E-2</v>
      </c>
    </row>
    <row r="14" spans="1:14" x14ac:dyDescent="0.25">
      <c r="A14" s="2">
        <v>42674</v>
      </c>
      <c r="B14" s="3" cm="1">
        <f t="array" aca="1" ref="B14" ca="1">_xll.YCP("^SPX", "total_monthly_return",A14)</f>
        <v>-1.8241E-2</v>
      </c>
      <c r="C14" s="3" cm="1">
        <f t="array" aca="1" ref="C14" ca="1">_xll.YCP("^BBUSATR", "total_monthly_return",A14)</f>
        <v>-7.6490000000000004E-3</v>
      </c>
      <c r="D14" s="3" cm="1">
        <f t="array" aca="1" ref="D14" ca="1">_xll.YCP("^BBUSCOHYTR", "total_monthly_return",A14)</f>
        <v>3.8609999999999998E-3</v>
      </c>
      <c r="E14">
        <v>-5.8999999999999999E-3</v>
      </c>
      <c r="F14" s="3" cm="1">
        <f t="array" aca="1" ref="F14" ca="1">_xll.YCP("^BBGATR", "total_monthly_return",A14)</f>
        <v>-2.7754999999999998E-2</v>
      </c>
      <c r="G14" s="3" cm="1">
        <f t="array" aca="1" ref="G14" ca="1">_xll.YCP("^MSACWI", "total_monthly_return",A14)</f>
        <v>-1.6733999999999999E-2</v>
      </c>
      <c r="H14" s="4">
        <f t="shared" ca="1" si="0"/>
        <v>-2.4999749999999998E-2</v>
      </c>
      <c r="I14">
        <f t="shared" ca="1" si="1"/>
        <v>-2.2933312499999997E-2</v>
      </c>
      <c r="J14">
        <f t="shared" ca="1" si="3"/>
        <v>977.06668750000006</v>
      </c>
      <c r="K14" s="5">
        <f t="shared" ca="1" si="4"/>
        <v>-2.2933312499999942E-2</v>
      </c>
      <c r="L14">
        <f t="shared" ca="1" si="2"/>
        <v>-1.1885800000000002E-2</v>
      </c>
      <c r="M14">
        <f t="shared" ca="1" si="5"/>
        <v>1080.7860667877183</v>
      </c>
      <c r="N14" s="5">
        <f t="shared" ca="1" si="6"/>
        <v>8.0786066787718255E-2</v>
      </c>
    </row>
    <row r="15" spans="1:14" x14ac:dyDescent="0.25">
      <c r="A15" s="2">
        <v>42704</v>
      </c>
      <c r="B15" s="3" cm="1">
        <f t="array" aca="1" ref="B15" ca="1">_xll.YCP("^SPX", "total_monthly_return",A15)</f>
        <v>3.7034999999999998E-2</v>
      </c>
      <c r="C15" s="3" cm="1">
        <f t="array" aca="1" ref="C15" ca="1">_xll.YCP("^BBUSATR", "total_monthly_return",A15)</f>
        <v>-2.3654000000000001E-2</v>
      </c>
      <c r="D15" s="3" cm="1">
        <f t="array" aca="1" ref="D15" ca="1">_xll.YCP("^BBUSCOHYTR", "total_monthly_return",A15)</f>
        <v>-4.7470000000000004E-3</v>
      </c>
      <c r="E15">
        <v>7.7000000000000002E-3</v>
      </c>
      <c r="F15" s="3" cm="1">
        <f t="array" aca="1" ref="F15" ca="1">_xll.YCP("^BBGATR", "total_monthly_return",A15)</f>
        <v>-3.9732000000000003E-2</v>
      </c>
      <c r="G15" s="3" cm="1">
        <f t="array" aca="1" ref="G15" ca="1">_xll.YCP("^MSACWI", "total_monthly_return",A15)</f>
        <v>8.09E-3</v>
      </c>
      <c r="H15" s="4">
        <f t="shared" ca="1" si="0"/>
        <v>-2.7776500000000003E-2</v>
      </c>
      <c r="I15">
        <f t="shared" ca="1" si="1"/>
        <v>-1.8809875E-2</v>
      </c>
      <c r="J15">
        <f t="shared" ca="1" si="3"/>
        <v>958.68818524146104</v>
      </c>
      <c r="K15" s="5">
        <f t="shared" ca="1" si="4"/>
        <v>-4.1311814758538956E-2</v>
      </c>
      <c r="L15">
        <f t="shared" ca="1" si="2"/>
        <v>6.2159999999999993E-4</v>
      </c>
      <c r="M15">
        <f t="shared" ca="1" si="5"/>
        <v>1081.4578834068336</v>
      </c>
      <c r="N15" s="5">
        <f t="shared" ca="1" si="6"/>
        <v>8.1457883406833617E-2</v>
      </c>
    </row>
    <row r="16" spans="1:14" x14ac:dyDescent="0.25">
      <c r="A16" s="2">
        <v>42735</v>
      </c>
      <c r="B16" s="3" cm="1">
        <f t="array" aca="1" ref="B16" ca="1">_xll.YCP("^SPX", "total_monthly_return",A16)</f>
        <v>1.9765999999999999E-2</v>
      </c>
      <c r="C16" s="3" cm="1">
        <f t="array" aca="1" ref="C16" ca="1">_xll.YCP("^BBUSATR", "total_monthly_return",A16)</f>
        <v>1.41E-3</v>
      </c>
      <c r="D16" s="3" cm="1">
        <f t="array" aca="1" ref="D16" ca="1">_xll.YCP("^BBUSCOHYTR", "total_monthly_return",A16)</f>
        <v>1.8456E-2</v>
      </c>
      <c r="E16">
        <v>1.01E-2</v>
      </c>
      <c r="F16" s="3" cm="1">
        <f t="array" aca="1" ref="F16" ca="1">_xll.YCP("^BBGATR", "total_monthly_return",A16)</f>
        <v>-4.594E-3</v>
      </c>
      <c r="G16" s="3" cm="1">
        <f t="array" aca="1" ref="G16" ca="1">_xll.YCP("^MSACWI", "total_monthly_return",A16)</f>
        <v>2.1999999999999999E-2</v>
      </c>
      <c r="H16" s="4">
        <f t="shared" ca="1" si="0"/>
        <v>2.0544999999999999E-3</v>
      </c>
      <c r="I16">
        <f t="shared" ca="1" si="1"/>
        <v>7.0408749999999994E-3</v>
      </c>
      <c r="J16">
        <f t="shared" ca="1" si="3"/>
        <v>965.43818891772298</v>
      </c>
      <c r="K16" s="5">
        <f t="shared" ca="1" si="4"/>
        <v>-3.4561811082277016E-2</v>
      </c>
      <c r="L16">
        <f t="shared" ca="1" si="2"/>
        <v>8.7523999999999987E-3</v>
      </c>
      <c r="M16">
        <f t="shared" ca="1" si="5"/>
        <v>1090.9232353855637</v>
      </c>
      <c r="N16" s="5">
        <f t="shared" ca="1" si="6"/>
        <v>9.0923235385563655E-2</v>
      </c>
    </row>
    <row r="17" spans="1:14" x14ac:dyDescent="0.25">
      <c r="A17" s="2">
        <v>42766</v>
      </c>
      <c r="B17" s="3" cm="1">
        <f t="array" aca="1" ref="B17" ca="1">_xll.YCP("^SPX", "total_monthly_return",A17)</f>
        <v>1.8966E-2</v>
      </c>
      <c r="C17" s="3" cm="1">
        <f t="array" aca="1" ref="C17" ca="1">_xll.YCP("^BBUSATR", "total_monthly_return",A17)</f>
        <v>1.9620000000000002E-3</v>
      </c>
      <c r="D17" s="3" cm="1">
        <f t="array" aca="1" ref="D17" ca="1">_xll.YCP("^BBUSCOHYTR", "total_monthly_return",A17)</f>
        <v>1.4524E-2</v>
      </c>
      <c r="E17">
        <v>1.2E-2</v>
      </c>
      <c r="F17" s="3" cm="1">
        <f t="array" aca="1" ref="F17" ca="1">_xll.YCP("^BBGATR", "total_monthly_return",A17)</f>
        <v>1.1273999999999999E-2</v>
      </c>
      <c r="G17" s="3" cm="1">
        <f t="array" aca="1" ref="G17" ca="1">_xll.YCP("^MSACWI", "total_monthly_return",A17)</f>
        <v>2.7557000000000002E-2</v>
      </c>
      <c r="H17" s="4">
        <f t="shared" ca="1" si="0"/>
        <v>1.5344750000000001E-2</v>
      </c>
      <c r="I17">
        <f t="shared" ca="1" si="1"/>
        <v>1.8397812499999999E-2</v>
      </c>
      <c r="J17">
        <f t="shared" ca="1" si="3"/>
        <v>983.20013969777074</v>
      </c>
      <c r="K17" s="5">
        <f t="shared" ca="1" si="4"/>
        <v>-1.6799860302229262E-2</v>
      </c>
      <c r="L17">
        <f t="shared" ca="1" si="2"/>
        <v>8.7635999999999999E-3</v>
      </c>
      <c r="M17">
        <f t="shared" ca="1" si="5"/>
        <v>1100.4836502511885</v>
      </c>
      <c r="N17" s="5">
        <f t="shared" ca="1" si="6"/>
        <v>0.10048365025118847</v>
      </c>
    </row>
    <row r="18" spans="1:14" x14ac:dyDescent="0.25">
      <c r="A18" s="2">
        <v>42794</v>
      </c>
      <c r="B18" s="3" cm="1">
        <f t="array" aca="1" ref="B18" ca="1">_xll.YCP("^SPX", "total_monthly_return",A18)</f>
        <v>3.9705999999999998E-2</v>
      </c>
      <c r="C18" s="3" cm="1">
        <f t="array" aca="1" ref="C18" ca="1">_xll.YCP("^BBUSATR", "total_monthly_return",A18)</f>
        <v>6.7210000000000004E-3</v>
      </c>
      <c r="D18" s="3" cm="1">
        <f t="array" aca="1" ref="D18" ca="1">_xll.YCP("^BBUSCOHYTR", "total_monthly_return",A18)</f>
        <v>1.4553999999999999E-2</v>
      </c>
      <c r="E18">
        <v>8.9999999999999993E-3</v>
      </c>
      <c r="F18" s="3" cm="1">
        <f t="array" aca="1" ref="F18" ca="1">_xll.YCP("^BBGATR", "total_monthly_return",A18)</f>
        <v>4.7260000000000002E-3</v>
      </c>
      <c r="G18" s="3" cm="1">
        <f t="array" aca="1" ref="G18" ca="1">_xll.YCP("^MSACWI", "total_monthly_return",A18)</f>
        <v>2.8497999999999999E-2</v>
      </c>
      <c r="H18" s="4">
        <f t="shared" ca="1" si="0"/>
        <v>1.0669E-2</v>
      </c>
      <c r="I18">
        <f t="shared" ca="1" si="1"/>
        <v>1.5126250000000001E-2</v>
      </c>
      <c r="J18">
        <f t="shared" ca="1" si="3"/>
        <v>998.0722708108741</v>
      </c>
      <c r="K18" s="5">
        <f t="shared" ca="1" si="4"/>
        <v>-1.9277291891258983E-3</v>
      </c>
      <c r="L18">
        <f t="shared" ca="1" si="2"/>
        <v>1.9915000000000002E-2</v>
      </c>
      <c r="M18">
        <f t="shared" ca="1" si="5"/>
        <v>1122.3997821459409</v>
      </c>
      <c r="N18" s="5">
        <f t="shared" ca="1" si="6"/>
        <v>0.12239978214594088</v>
      </c>
    </row>
    <row r="19" spans="1:14" x14ac:dyDescent="0.25">
      <c r="A19" s="2">
        <v>42825</v>
      </c>
      <c r="B19" s="3" cm="1">
        <f t="array" aca="1" ref="B19" ca="1">_xll.YCP("^SPX", "total_monthly_return",A19)</f>
        <v>1.1659999999999999E-3</v>
      </c>
      <c r="C19" s="3" cm="1">
        <f t="array" aca="1" ref="C19" ca="1">_xll.YCP("^BBUSATR", "total_monthly_return",A19)</f>
        <v>-5.2400000000000005E-4</v>
      </c>
      <c r="D19" s="3" cm="1">
        <f t="array" aca="1" ref="D19" ca="1">_xll.YCP("^BBUSCOHYTR", "total_monthly_return",A19)</f>
        <v>-2.232E-3</v>
      </c>
      <c r="E19">
        <v>3.8999999999999998E-3</v>
      </c>
      <c r="F19" s="3" cm="1">
        <f t="array" aca="1" ref="F19" ca="1">_xll.YCP("^BBGATR", "total_monthly_return",A19)</f>
        <v>1.537E-3</v>
      </c>
      <c r="G19" s="3" cm="1">
        <f t="array" aca="1" ref="G19" ca="1">_xll.YCP("^MSACWI", "total_monthly_return",A19)</f>
        <v>1.29E-2</v>
      </c>
      <c r="H19" s="4">
        <f t="shared" ca="1" si="0"/>
        <v>4.3777499999999997E-3</v>
      </c>
      <c r="I19">
        <f t="shared" ca="1" si="1"/>
        <v>6.5083125000000002E-3</v>
      </c>
      <c r="J19">
        <f t="shared" ca="1" si="3"/>
        <v>1004.5680370468959</v>
      </c>
      <c r="K19" s="5">
        <f t="shared" ca="1" si="4"/>
        <v>4.5680370468959381E-3</v>
      </c>
      <c r="L19">
        <f t="shared" ca="1" si="2"/>
        <v>1.5200000000000001E-4</v>
      </c>
      <c r="M19">
        <f t="shared" ca="1" si="5"/>
        <v>1122.570386912827</v>
      </c>
      <c r="N19" s="5">
        <f t="shared" ca="1" si="6"/>
        <v>0.12257038691282696</v>
      </c>
    </row>
    <row r="20" spans="1:14" x14ac:dyDescent="0.25">
      <c r="A20" s="2">
        <v>42855</v>
      </c>
      <c r="B20" s="3" cm="1">
        <f t="array" aca="1" ref="B20" ca="1">_xll.YCP("^SPX", "total_monthly_return",A20)</f>
        <v>1.027E-2</v>
      </c>
      <c r="C20" s="3" cm="1">
        <f t="array" aca="1" ref="C20" ca="1">_xll.YCP("^BBUSATR", "total_monthly_return",A20)</f>
        <v>7.7169999999999999E-3</v>
      </c>
      <c r="D20" s="3" cm="1">
        <f t="array" aca="1" ref="D20" ca="1">_xll.YCP("^BBUSCOHYTR", "total_monthly_return",A20)</f>
        <v>1.1547E-2</v>
      </c>
      <c r="E20">
        <v>5.3E-3</v>
      </c>
      <c r="F20" s="3" cm="1">
        <f t="array" aca="1" ref="F20" ca="1">_xll.YCP("^BBGATR", "total_monthly_return",A20)</f>
        <v>1.1272000000000001E-2</v>
      </c>
      <c r="G20" s="3" cm="1">
        <f t="array" aca="1" ref="G20" ca="1">_xll.YCP("^MSACWI", "total_monthly_return",A20)</f>
        <v>1.6046999999999999E-2</v>
      </c>
      <c r="H20" s="4">
        <f t="shared" ca="1" si="0"/>
        <v>1.2465749999999999E-2</v>
      </c>
      <c r="I20">
        <f t="shared" ca="1" si="1"/>
        <v>1.33610625E-2</v>
      </c>
      <c r="J20">
        <f t="shared" ca="1" si="3"/>
        <v>1017.9901333753819</v>
      </c>
      <c r="K20" s="5">
        <f t="shared" ca="1" si="4"/>
        <v>1.7990133375381901E-2</v>
      </c>
      <c r="L20">
        <f t="shared" ca="1" si="2"/>
        <v>8.7381999999999998E-3</v>
      </c>
      <c r="M20">
        <f t="shared" ca="1" si="5"/>
        <v>1132.3796314677486</v>
      </c>
      <c r="N20" s="5">
        <f t="shared" ca="1" si="6"/>
        <v>0.13237963146774859</v>
      </c>
    </row>
    <row r="21" spans="1:14" x14ac:dyDescent="0.25">
      <c r="A21" s="2">
        <v>42886</v>
      </c>
      <c r="B21" s="3" cm="1">
        <f t="array" aca="1" ref="B21" ca="1">_xll.YCP("^SPX", "total_monthly_return",A21)</f>
        <v>1.4073E-2</v>
      </c>
      <c r="C21" s="3" cm="1">
        <f t="array" aca="1" ref="C21" ca="1">_xll.YCP("^BBUSATR", "total_monthly_return",A21)</f>
        <v>7.6969999999999998E-3</v>
      </c>
      <c r="D21" s="3" cm="1">
        <f t="array" aca="1" ref="D21" ca="1">_xll.YCP("^BBUSCOHYTR", "total_monthly_return",A21)</f>
        <v>8.6960000000000006E-3</v>
      </c>
      <c r="E21">
        <v>1.9E-3</v>
      </c>
      <c r="F21" s="3" cm="1">
        <f t="array" aca="1" ref="F21" ca="1">_xll.YCP("^BBGATR", "total_monthly_return",A21)</f>
        <v>1.5474999999999999E-2</v>
      </c>
      <c r="G21" s="3" cm="1">
        <f t="array" aca="1" ref="G21" ca="1">_xll.YCP("^MSACWI", "total_monthly_return",A21)</f>
        <v>2.2967000000000001E-2</v>
      </c>
      <c r="H21" s="4">
        <f t="shared" ca="1" si="0"/>
        <v>1.7347999999999999E-2</v>
      </c>
      <c r="I21">
        <f t="shared" ca="1" si="1"/>
        <v>1.8752749999999999E-2</v>
      </c>
      <c r="J21">
        <f t="shared" ca="1" si="3"/>
        <v>1037.0802478490371</v>
      </c>
      <c r="K21" s="5">
        <f t="shared" ca="1" si="4"/>
        <v>3.7080247849037053E-2</v>
      </c>
      <c r="L21">
        <f t="shared" ca="1" si="2"/>
        <v>1.02474E-2</v>
      </c>
      <c r="M21">
        <f t="shared" ca="1" si="5"/>
        <v>1143.983578503251</v>
      </c>
      <c r="N21" s="5">
        <f t="shared" ca="1" si="6"/>
        <v>0.143983578503251</v>
      </c>
    </row>
    <row r="22" spans="1:14" x14ac:dyDescent="0.25">
      <c r="A22" s="2">
        <v>42916</v>
      </c>
      <c r="B22" s="3" cm="1">
        <f t="array" aca="1" ref="B22" ca="1">_xll.YCP("^SPX", "total_monthly_return",A22)</f>
        <v>6.2420000000000002E-3</v>
      </c>
      <c r="C22" s="3" cm="1">
        <f t="array" aca="1" ref="C22" ca="1">_xll.YCP("^BBUSATR", "total_monthly_return",A22)</f>
        <v>-1.0059999999999999E-3</v>
      </c>
      <c r="D22" s="3" cm="1">
        <f t="array" aca="1" ref="D22" ca="1">_xll.YCP("^BBUSCOHYTR", "total_monthly_return",A22)</f>
        <v>1.3519999999999999E-3</v>
      </c>
      <c r="E22">
        <v>3.0000000000000001E-3</v>
      </c>
      <c r="F22" s="3" cm="1">
        <f t="array" aca="1" ref="F22" ca="1">_xll.YCP("^BBGATR", "total_monthly_return",A22)</f>
        <v>-8.7799999999999998E-4</v>
      </c>
      <c r="G22" s="3" cm="1">
        <f t="array" aca="1" ref="G22" ca="1">_xll.YCP("^MSACWI", "total_monthly_return",A22)</f>
        <v>4.9620000000000003E-3</v>
      </c>
      <c r="H22" s="4">
        <f t="shared" ca="1" si="0"/>
        <v>5.8200000000000005E-4</v>
      </c>
      <c r="I22">
        <f t="shared" ca="1" si="1"/>
        <v>1.6770000000000001E-3</v>
      </c>
      <c r="J22">
        <f t="shared" ca="1" si="3"/>
        <v>1038.8194314246798</v>
      </c>
      <c r="K22" s="5">
        <f t="shared" ca="1" si="4"/>
        <v>3.8819431424679807E-2</v>
      </c>
      <c r="L22">
        <f t="shared" ca="1" si="2"/>
        <v>1.8932000000000005E-3</v>
      </c>
      <c r="M22">
        <f t="shared" ca="1" si="5"/>
        <v>1146.1493682140733</v>
      </c>
      <c r="N22" s="5">
        <f t="shared" ca="1" si="6"/>
        <v>0.14614936821407332</v>
      </c>
    </row>
    <row r="23" spans="1:14" x14ac:dyDescent="0.25">
      <c r="A23" s="2">
        <v>42947</v>
      </c>
      <c r="B23" s="3" cm="1">
        <f t="array" aca="1" ref="B23" ca="1">_xll.YCP("^SPX", "total_monthly_return",A23)</f>
        <v>2.0563000000000001E-2</v>
      </c>
      <c r="C23" s="3" cm="1">
        <f t="array" aca="1" ref="C23" ca="1">_xll.YCP("^BBUSATR", "total_monthly_return",A23)</f>
        <v>4.3030000000000004E-3</v>
      </c>
      <c r="D23" s="3" cm="1">
        <f t="array" aca="1" ref="D23" ca="1">_xll.YCP("^BBUSCOHYTR", "total_monthly_return",A23)</f>
        <v>1.1075E-2</v>
      </c>
      <c r="E23">
        <v>1.0699999999999999E-2</v>
      </c>
      <c r="F23" s="3" cm="1">
        <f t="array" aca="1" ref="F23" ca="1">_xll.YCP("^BBGATR", "total_monthly_return",A23)</f>
        <v>1.6813000000000002E-2</v>
      </c>
      <c r="G23" s="3" cm="1">
        <f t="array" aca="1" ref="G23" ca="1">_xll.YCP("^MSACWI", "total_monthly_return",A23)</f>
        <v>2.8309999999999998E-2</v>
      </c>
      <c r="H23" s="4">
        <f t="shared" ca="1" si="0"/>
        <v>1.968725E-2</v>
      </c>
      <c r="I23">
        <f t="shared" ca="1" si="1"/>
        <v>2.18429375E-2</v>
      </c>
      <c r="J23">
        <f t="shared" ca="1" si="3"/>
        <v>1061.5102993390747</v>
      </c>
      <c r="K23" s="5">
        <f t="shared" ca="1" si="4"/>
        <v>6.1510299339074662E-2</v>
      </c>
      <c r="L23">
        <f t="shared" ca="1" si="2"/>
        <v>1.0807000000000001E-2</v>
      </c>
      <c r="M23">
        <f t="shared" ca="1" si="5"/>
        <v>1158.5358044363629</v>
      </c>
      <c r="N23" s="5">
        <f t="shared" ca="1" si="6"/>
        <v>0.15853580443636292</v>
      </c>
    </row>
    <row r="24" spans="1:14" x14ac:dyDescent="0.25">
      <c r="A24" s="2">
        <v>42978</v>
      </c>
      <c r="B24" s="3" cm="1">
        <f t="array" aca="1" ref="B24" ca="1">_xll.YCP("^SPX", "total_monthly_return",A24)</f>
        <v>3.0609999999999999E-3</v>
      </c>
      <c r="C24" s="3" cm="1">
        <f t="array" aca="1" ref="C24" ca="1">_xll.YCP("^BBUSATR", "total_monthly_return",A24)</f>
        <v>8.9700000000000005E-3</v>
      </c>
      <c r="D24" s="3" cm="1">
        <f t="array" aca="1" ref="D24" ca="1">_xll.YCP("^BBUSCOHYTR", "total_monthly_return",A24)</f>
        <v>-3.9199999999999999E-4</v>
      </c>
      <c r="E24">
        <v>4.8999999999999998E-3</v>
      </c>
      <c r="F24" s="3" cm="1">
        <f t="array" aca="1" ref="F24" ca="1">_xll.YCP("^BBGATR", "total_monthly_return",A24)</f>
        <v>9.9069999999999991E-3</v>
      </c>
      <c r="G24" s="3" cm="1">
        <f t="array" aca="1" ref="G24" ca="1">_xll.YCP("^MSACWI", "total_monthly_return",A24)</f>
        <v>4.3210000000000002E-3</v>
      </c>
      <c r="H24" s="4">
        <f t="shared" ca="1" si="0"/>
        <v>8.510499999999999E-3</v>
      </c>
      <c r="I24">
        <f t="shared" ca="1" si="1"/>
        <v>7.4631249999999993E-3</v>
      </c>
      <c r="J24">
        <f t="shared" ca="1" si="3"/>
        <v>1069.4324833918295</v>
      </c>
      <c r="K24" s="5">
        <f t="shared" ca="1" si="4"/>
        <v>6.9432483391829461E-2</v>
      </c>
      <c r="L24">
        <f t="shared" ca="1" si="2"/>
        <v>6.6064000000000001E-3</v>
      </c>
      <c r="M24">
        <f t="shared" ca="1" si="5"/>
        <v>1166.1895553747911</v>
      </c>
      <c r="N24" s="5">
        <f t="shared" ca="1" si="6"/>
        <v>0.1661895553747911</v>
      </c>
    </row>
    <row r="25" spans="1:14" x14ac:dyDescent="0.25">
      <c r="A25" s="2">
        <v>43008</v>
      </c>
      <c r="B25" s="3" cm="1">
        <f t="array" aca="1" ref="B25" ca="1">_xll.YCP("^SPX", "total_monthly_return",A25)</f>
        <v>2.0628000000000001E-2</v>
      </c>
      <c r="C25" s="3" cm="1">
        <f t="array" aca="1" ref="C25" ca="1">_xll.YCP("^BBUSATR", "total_monthly_return",A25)</f>
        <v>-4.7629999999999999E-3</v>
      </c>
      <c r="D25" s="3" cm="1">
        <f t="array" aca="1" ref="D25" ca="1">_xll.YCP("^BBUSCOHYTR", "total_monthly_return",A25)</f>
        <v>8.9789999999999991E-3</v>
      </c>
      <c r="E25">
        <v>6.4999999999999997E-3</v>
      </c>
      <c r="F25" s="3" cm="1">
        <f t="array" aca="1" ref="F25" ca="1">_xll.YCP("^BBGATR", "total_monthly_return",A25)</f>
        <v>-9.0080000000000004E-3</v>
      </c>
      <c r="G25" s="3" cm="1">
        <f t="array" aca="1" ref="G25" ca="1">_xll.YCP("^MSACWI", "total_monthly_return",A25)</f>
        <v>1.9694E-2</v>
      </c>
      <c r="H25" s="4">
        <f t="shared" ca="1" si="0"/>
        <v>-1.8324999999999999E-3</v>
      </c>
      <c r="I25">
        <f t="shared" ca="1" si="1"/>
        <v>3.5491250000000002E-3</v>
      </c>
      <c r="J25">
        <f t="shared" ca="1" si="3"/>
        <v>1073.2280329544474</v>
      </c>
      <c r="K25" s="5">
        <f t="shared" ca="1" si="4"/>
        <v>7.3228032954447367E-2</v>
      </c>
      <c r="L25">
        <f t="shared" ca="1" si="2"/>
        <v>5.3934000000000005E-3</v>
      </c>
      <c r="M25">
        <f t="shared" ca="1" si="5"/>
        <v>1172.4792821227495</v>
      </c>
      <c r="N25" s="5">
        <f t="shared" ca="1" si="6"/>
        <v>0.17247928212274952</v>
      </c>
    </row>
    <row r="26" spans="1:14" x14ac:dyDescent="0.25">
      <c r="A26" s="2">
        <v>43039</v>
      </c>
      <c r="B26" s="3" cm="1">
        <f t="array" aca="1" ref="B26" ca="1">_xll.YCP("^SPX", "total_monthly_return",A26)</f>
        <v>2.3335000000000002E-2</v>
      </c>
      <c r="C26" s="3" cm="1">
        <f t="array" aca="1" ref="C26" ca="1">_xll.YCP("^BBUSATR", "total_monthly_return",A26)</f>
        <v>5.7899999999999998E-4</v>
      </c>
      <c r="D26" s="3" cm="1">
        <f t="array" aca="1" ref="D26" ca="1">_xll.YCP("^BBUSCOHYTR", "total_monthly_return",A26)</f>
        <v>4.2240000000000003E-3</v>
      </c>
      <c r="E26">
        <v>1.03E-2</v>
      </c>
      <c r="F26" s="3" cm="1">
        <f t="array" aca="1" ref="F26" ca="1">_xll.YCP("^BBGATR", "total_monthly_return",A26)</f>
        <v>-3.784E-3</v>
      </c>
      <c r="G26" s="3" cm="1">
        <f t="array" aca="1" ref="G26" ca="1">_xll.YCP("^MSACWI", "total_monthly_return",A26)</f>
        <v>2.0995E-2</v>
      </c>
      <c r="H26" s="4">
        <f t="shared" ca="1" si="0"/>
        <v>2.4107499999999997E-3</v>
      </c>
      <c r="I26">
        <f t="shared" ca="1" si="1"/>
        <v>7.0568124999999997E-3</v>
      </c>
      <c r="J26">
        <f t="shared" ca="1" si="3"/>
        <v>1080.8016019527506</v>
      </c>
      <c r="K26" s="5">
        <f t="shared" ca="1" si="4"/>
        <v>8.0801601952750615E-2</v>
      </c>
      <c r="L26">
        <f t="shared" ca="1" si="2"/>
        <v>9.6813999999999997E-3</v>
      </c>
      <c r="M26">
        <f t="shared" ca="1" si="5"/>
        <v>1183.8305230446929</v>
      </c>
      <c r="N26" s="5">
        <f t="shared" ca="1" si="6"/>
        <v>0.18383052304469288</v>
      </c>
    </row>
    <row r="27" spans="1:14" x14ac:dyDescent="0.25">
      <c r="A27" s="2">
        <v>43069</v>
      </c>
      <c r="B27" s="3" cm="1">
        <f t="array" aca="1" ref="B27" ca="1">_xll.YCP("^SPX", "total_monthly_return",A27)</f>
        <v>3.0669999999999999E-2</v>
      </c>
      <c r="C27" s="3" cm="1">
        <f t="array" aca="1" ref="C27" ca="1">_xll.YCP("^BBUSATR", "total_monthly_return",A27)</f>
        <v>-1.284E-3</v>
      </c>
      <c r="D27" s="3" cm="1">
        <f t="array" aca="1" ref="D27" ca="1">_xll.YCP("^BBUSCOHYTR", "total_monthly_return",A27)</f>
        <v>-2.5530000000000001E-3</v>
      </c>
      <c r="E27">
        <v>4.5999999999999999E-3</v>
      </c>
      <c r="F27" s="3" cm="1">
        <f t="array" aca="1" ref="F27" ca="1">_xll.YCP("^BBGATR", "total_monthly_return",A27)</f>
        <v>1.1105E-2</v>
      </c>
      <c r="G27" s="3" cm="1">
        <f t="array" aca="1" ref="G27" ca="1">_xll.YCP("^MSACWI", "total_monthly_return",A27)</f>
        <v>1.9816E-2</v>
      </c>
      <c r="H27" s="4">
        <f t="shared" ca="1" si="0"/>
        <v>1.3282749999999999E-2</v>
      </c>
      <c r="I27">
        <f t="shared" ca="1" si="1"/>
        <v>1.4916062500000001E-2</v>
      </c>
      <c r="J27">
        <f t="shared" ca="1" si="3"/>
        <v>1096.922906197578</v>
      </c>
      <c r="K27" s="5">
        <f t="shared" ca="1" si="4"/>
        <v>9.6922906197577957E-2</v>
      </c>
      <c r="L27">
        <f t="shared" ca="1" si="2"/>
        <v>1.1497600000000002E-2</v>
      </c>
      <c r="M27">
        <f t="shared" ca="1" si="5"/>
        <v>1197.4417328664515</v>
      </c>
      <c r="N27" s="5">
        <f t="shared" ca="1" si="6"/>
        <v>0.1974417328664515</v>
      </c>
    </row>
    <row r="28" spans="1:14" x14ac:dyDescent="0.25">
      <c r="A28" s="2">
        <v>43100</v>
      </c>
      <c r="B28" s="3" cm="1">
        <f t="array" aca="1" ref="B28" ca="1">_xll.YCP("^SPX", "total_monthly_return",A28)</f>
        <v>1.1119E-2</v>
      </c>
      <c r="C28" s="3" cm="1">
        <f t="array" aca="1" ref="C28" ca="1">_xll.YCP("^BBUSATR", "total_monthly_return",A28)</f>
        <v>4.5900000000000003E-3</v>
      </c>
      <c r="D28" s="3" cm="1">
        <f t="array" aca="1" ref="D28" ca="1">_xll.YCP("^BBUSCOHYTR", "total_monthly_return",A28)</f>
        <v>3.0219999999999999E-3</v>
      </c>
      <c r="E28">
        <v>1.06E-2</v>
      </c>
      <c r="F28" s="3" cm="1">
        <f t="array" aca="1" ref="F28" ca="1">_xll.YCP("^BBGATR", "total_monthly_return",A28)</f>
        <v>3.4650000000000002E-3</v>
      </c>
      <c r="G28" s="3" cm="1">
        <f t="array" aca="1" ref="G28" ca="1">_xll.YCP("^MSACWI", "total_monthly_return",A28)</f>
        <v>1.6458E-2</v>
      </c>
      <c r="H28" s="4">
        <f t="shared" ca="1" si="0"/>
        <v>6.7132500000000005E-3</v>
      </c>
      <c r="I28">
        <f t="shared" ca="1" si="1"/>
        <v>9.1494374999999996E-3</v>
      </c>
      <c r="J28">
        <f t="shared" ca="1" si="3"/>
        <v>1106.9591337701511</v>
      </c>
      <c r="K28" s="5">
        <f t="shared" ca="1" si="4"/>
        <v>0.10695913377015108</v>
      </c>
      <c r="L28">
        <f t="shared" ca="1" si="2"/>
        <v>7.2016000000000007E-3</v>
      </c>
      <c r="M28">
        <f t="shared" ca="1" si="5"/>
        <v>1206.0652292498623</v>
      </c>
      <c r="N28" s="5">
        <f t="shared" ca="1" si="6"/>
        <v>0.20606522924986234</v>
      </c>
    </row>
    <row r="29" spans="1:14" x14ac:dyDescent="0.25">
      <c r="A29" s="2">
        <v>43131</v>
      </c>
      <c r="B29" s="3" cm="1">
        <f t="array" aca="1" ref="B29" ca="1">_xll.YCP("^SPX", "total_monthly_return",A29)</f>
        <v>5.7253999999999999E-2</v>
      </c>
      <c r="C29" s="3" cm="1">
        <f t="array" aca="1" ref="C29" ca="1">_xll.YCP("^BBUSATR", "total_monthly_return",A29)</f>
        <v>-1.1516999999999999E-2</v>
      </c>
      <c r="D29" s="3" cm="1">
        <f t="array" aca="1" ref="D29" ca="1">_xll.YCP("^BBUSCOHYTR", "total_monthly_return",A29)</f>
        <v>5.9969999999999997E-3</v>
      </c>
      <c r="E29">
        <v>2.3099999999999999E-2</v>
      </c>
      <c r="F29" s="3" cm="1">
        <f t="array" aca="1" ref="F29" ca="1">_xll.YCP("^BBGATR", "total_monthly_return",A29)</f>
        <v>1.1917000000000001E-2</v>
      </c>
      <c r="G29" s="3" cm="1">
        <f t="array" aca="1" ref="G29" ca="1">_xll.YCP("^MSACWI", "total_monthly_return",A29)</f>
        <v>5.6624000000000001E-2</v>
      </c>
      <c r="H29" s="4">
        <f t="shared" ca="1" si="0"/>
        <v>2.3093750000000003E-2</v>
      </c>
      <c r="I29">
        <f t="shared" ca="1" si="1"/>
        <v>3.1476312500000006E-2</v>
      </c>
      <c r="J29">
        <f t="shared" ca="1" si="3"/>
        <v>1141.8021253894296</v>
      </c>
      <c r="K29" s="5">
        <f t="shared" ca="1" si="4"/>
        <v>0.14180212538942966</v>
      </c>
      <c r="L29">
        <f t="shared" ca="1" si="2"/>
        <v>1.5991400000000003E-2</v>
      </c>
      <c r="M29">
        <f t="shared" ca="1" si="5"/>
        <v>1225.3519007568887</v>
      </c>
      <c r="N29" s="5">
        <f t="shared" ca="1" si="6"/>
        <v>0.22535190075688866</v>
      </c>
    </row>
    <row r="30" spans="1:14" x14ac:dyDescent="0.25">
      <c r="A30" s="2">
        <v>43159</v>
      </c>
      <c r="B30" s="3" cm="1">
        <f t="array" aca="1" ref="B30" ca="1">_xll.YCP("^SPX", "total_monthly_return",A30)</f>
        <v>-3.6857000000000001E-2</v>
      </c>
      <c r="C30" s="3" cm="1">
        <f t="array" aca="1" ref="C30" ca="1">_xll.YCP("^BBUSATR", "total_monthly_return",A30)</f>
        <v>-9.4789999999999996E-3</v>
      </c>
      <c r="D30" s="3" cm="1">
        <f t="array" aca="1" ref="D30" ca="1">_xll.YCP("^BBUSCOHYTR", "total_monthly_return",A30)</f>
        <v>-8.4989999999999996E-3</v>
      </c>
      <c r="E30">
        <v>-1.7999999999999999E-2</v>
      </c>
      <c r="F30" s="3" cm="1">
        <f t="array" aca="1" ref="F30" ca="1">_xll.YCP("^BBGATR", "total_monthly_return",A30)</f>
        <v>-8.8730000000000007E-3</v>
      </c>
      <c r="G30" s="3" cm="1">
        <f t="array" aca="1" ref="G30" ca="1">_xll.YCP("^MSACWI", "total_monthly_return",A30)</f>
        <v>-4.1611000000000002E-2</v>
      </c>
      <c r="H30" s="4">
        <f t="shared" ca="1" si="0"/>
        <v>-1.7057500000000003E-2</v>
      </c>
      <c r="I30">
        <f t="shared" ca="1" si="1"/>
        <v>-2.3195875000000005E-2</v>
      </c>
      <c r="J30">
        <f t="shared" ca="1" si="3"/>
        <v>1115.3170260141621</v>
      </c>
      <c r="K30" s="5">
        <f t="shared" ca="1" si="4"/>
        <v>0.11531702601416213</v>
      </c>
      <c r="L30">
        <f t="shared" ca="1" si="2"/>
        <v>-2.0430199999999999E-2</v>
      </c>
      <c r="M30">
        <f t="shared" ca="1" si="5"/>
        <v>1200.3177163540454</v>
      </c>
      <c r="N30" s="5">
        <f t="shared" ca="1" si="6"/>
        <v>0.20031771635404538</v>
      </c>
    </row>
    <row r="31" spans="1:14" x14ac:dyDescent="0.25">
      <c r="A31" s="2">
        <v>43190</v>
      </c>
      <c r="B31" s="3" cm="1">
        <f t="array" aca="1" ref="B31" ca="1">_xll.YCP("^SPX", "total_monthly_return",A31)</f>
        <v>-2.5413000000000002E-2</v>
      </c>
      <c r="C31" s="3" cm="1">
        <f t="array" aca="1" ref="C31" ca="1">_xll.YCP("^BBUSATR", "total_monthly_return",A31)</f>
        <v>6.4130000000000003E-3</v>
      </c>
      <c r="D31" s="3" cm="1">
        <f t="array" aca="1" ref="D31" ca="1">_xll.YCP("^BBUSCOHYTR", "total_monthly_return",A31)</f>
        <v>-6.0400000000000002E-3</v>
      </c>
      <c r="E31">
        <v>-5.1000000000000004E-3</v>
      </c>
      <c r="F31" s="3" cm="1">
        <f t="array" aca="1" ref="F31" ca="1">_xll.YCP("^BBGATR", "total_monthly_return",A31)</f>
        <v>1.0644000000000001E-2</v>
      </c>
      <c r="G31" s="3" cm="1">
        <f t="array" aca="1" ref="G31" ca="1">_xll.YCP("^MSACWI", "total_monthly_return",A31)</f>
        <v>-2.0806999999999999E-2</v>
      </c>
      <c r="H31" s="4">
        <f t="shared" ca="1" si="0"/>
        <v>2.7812500000000007E-3</v>
      </c>
      <c r="I31">
        <f t="shared" ca="1" si="1"/>
        <v>-3.1158124999999992E-3</v>
      </c>
      <c r="J31">
        <f t="shared" ca="1" si="3"/>
        <v>1111.8419072830443</v>
      </c>
      <c r="K31" s="5">
        <f t="shared" ca="1" si="4"/>
        <v>0.11184190728304429</v>
      </c>
      <c r="L31">
        <f t="shared" ca="1" si="2"/>
        <v>-6.3174000000000008E-3</v>
      </c>
      <c r="M31">
        <f t="shared" ca="1" si="5"/>
        <v>1192.7348292127504</v>
      </c>
      <c r="N31" s="5">
        <f t="shared" ca="1" si="6"/>
        <v>0.19273482921275037</v>
      </c>
    </row>
    <row r="32" spans="1:14" x14ac:dyDescent="0.25">
      <c r="A32" s="2">
        <v>43220</v>
      </c>
      <c r="B32" s="3" cm="1">
        <f t="array" aca="1" ref="B32" ca="1">_xll.YCP("^SPX", "total_monthly_return",A32)</f>
        <v>3.8370000000000001E-3</v>
      </c>
      <c r="C32" s="3" cm="1">
        <f t="array" aca="1" ref="C32" ca="1">_xll.YCP("^BBUSATR", "total_monthly_return",A32)</f>
        <v>-7.437E-3</v>
      </c>
      <c r="D32" s="3" cm="1">
        <f t="array" aca="1" ref="D32" ca="1">_xll.YCP("^BBUSCOHYTR", "total_monthly_return",A32)</f>
        <v>6.5059999999999996E-3</v>
      </c>
      <c r="E32">
        <v>3.8E-3</v>
      </c>
      <c r="F32" s="3" cm="1">
        <f t="array" aca="1" ref="F32" ca="1">_xll.YCP("^BBGATR", "total_monthly_return",A32)</f>
        <v>-1.6017E-2</v>
      </c>
      <c r="G32" s="3" cm="1">
        <f t="array" aca="1" ref="G32" ca="1">_xll.YCP("^MSACWI", "total_monthly_return",A32)</f>
        <v>1.0114E-2</v>
      </c>
      <c r="H32" s="4">
        <f t="shared" ca="1" si="0"/>
        <v>-9.4842499999999996E-3</v>
      </c>
      <c r="I32">
        <f t="shared" ca="1" si="1"/>
        <v>-4.5846875000000002E-3</v>
      </c>
      <c r="J32">
        <f t="shared" ca="1" si="3"/>
        <v>1106.7444595887475</v>
      </c>
      <c r="K32" s="5">
        <f t="shared" ca="1" si="4"/>
        <v>0.10674445958874754</v>
      </c>
      <c r="L32">
        <f t="shared" ca="1" si="2"/>
        <v>-2.9273999999999993E-3</v>
      </c>
      <c r="M32">
        <f t="shared" ca="1" si="5"/>
        <v>1189.2432172737128</v>
      </c>
      <c r="N32" s="5">
        <f t="shared" ca="1" si="6"/>
        <v>0.18924321727371285</v>
      </c>
    </row>
    <row r="33" spans="1:14" x14ac:dyDescent="0.25">
      <c r="A33" s="2">
        <v>43251</v>
      </c>
      <c r="B33" s="3" cm="1">
        <f t="array" aca="1" ref="B33" ca="1">_xll.YCP("^SPX", "total_monthly_return",A33)</f>
        <v>2.4081999999999999E-2</v>
      </c>
      <c r="C33" s="3" cm="1">
        <f t="array" aca="1" ref="C33" ca="1">_xll.YCP("^BBUSATR", "total_monthly_return",A33)</f>
        <v>7.1370000000000001E-3</v>
      </c>
      <c r="D33" s="3" cm="1">
        <f t="array" aca="1" ref="D33" ca="1">_xll.YCP("^BBUSCOHYTR", "total_monthly_return",A33)</f>
        <v>-2.7700000000000001E-4</v>
      </c>
      <c r="E33">
        <v>8.8000000000000005E-3</v>
      </c>
      <c r="F33" s="3" cm="1">
        <f t="array" aca="1" ref="F33" ca="1">_xll.YCP("^BBGATR", "total_monthly_return",A33)</f>
        <v>-7.5849999999999997E-3</v>
      </c>
      <c r="G33" s="3" cm="1">
        <f t="array" aca="1" ref="G33" ca="1">_xll.YCP("^MSACWI", "total_monthly_return",A33)</f>
        <v>2.111E-3</v>
      </c>
      <c r="H33" s="4">
        <f t="shared" ca="1" si="0"/>
        <v>-5.1609999999999989E-3</v>
      </c>
      <c r="I33">
        <f t="shared" ca="1" si="1"/>
        <v>-3.3429999999999992E-3</v>
      </c>
      <c r="J33">
        <f t="shared" ca="1" si="3"/>
        <v>1103.0446128603423</v>
      </c>
      <c r="K33" s="5">
        <f t="shared" ca="1" si="4"/>
        <v>0.10304461286034235</v>
      </c>
      <c r="L33">
        <f t="shared" ca="1" si="2"/>
        <v>1.3915E-2</v>
      </c>
      <c r="M33">
        <f t="shared" ca="1" si="5"/>
        <v>1205.7915366420764</v>
      </c>
      <c r="N33" s="5">
        <f t="shared" ca="1" si="6"/>
        <v>0.20579153664207639</v>
      </c>
    </row>
    <row r="34" spans="1:14" x14ac:dyDescent="0.25">
      <c r="A34" s="2">
        <v>43281</v>
      </c>
      <c r="B34" s="3" cm="1">
        <f t="array" aca="1" ref="B34" ca="1">_xll.YCP("^SPX", "total_monthly_return",A34)</f>
        <v>6.1549999999999999E-3</v>
      </c>
      <c r="C34" s="3" cm="1">
        <f t="array" aca="1" ref="C34" ca="1">_xll.YCP("^BBUSATR", "total_monthly_return",A34)</f>
        <v>-1.23E-3</v>
      </c>
      <c r="D34" s="3" cm="1">
        <f t="array" aca="1" ref="D34" ca="1">_xll.YCP("^BBUSCOHYTR", "total_monthly_return",A34)</f>
        <v>4.0140000000000002E-3</v>
      </c>
      <c r="E34">
        <v>-4.0000000000000001E-3</v>
      </c>
      <c r="F34" s="3" cm="1">
        <f t="array" aca="1" ref="F34" ca="1">_xll.YCP("^BBGATR", "total_monthly_return",A34)</f>
        <v>-4.4460000000000003E-3</v>
      </c>
      <c r="G34" s="3" cm="1">
        <f t="array" aca="1" ref="G34" ca="1">_xll.YCP("^MSACWI", "total_monthly_return",A34)</f>
        <v>-5.0169999999999998E-3</v>
      </c>
      <c r="H34" s="4">
        <f t="shared" ca="1" si="0"/>
        <v>-4.5887499999999999E-3</v>
      </c>
      <c r="I34">
        <f t="shared" ca="1" si="1"/>
        <v>-4.6958125000000003E-3</v>
      </c>
      <c r="J34">
        <f t="shared" ca="1" si="3"/>
        <v>1097.8649221792152</v>
      </c>
      <c r="K34" s="5">
        <f t="shared" ca="1" si="4"/>
        <v>9.7864922179215233E-2</v>
      </c>
      <c r="L34">
        <f t="shared" ca="1" si="2"/>
        <v>1.7240000000000003E-3</v>
      </c>
      <c r="M34">
        <f t="shared" ca="1" si="5"/>
        <v>1207.8703212512473</v>
      </c>
      <c r="N34" s="5">
        <f t="shared" ca="1" si="6"/>
        <v>0.20787032125124733</v>
      </c>
    </row>
    <row r="35" spans="1:14" x14ac:dyDescent="0.25">
      <c r="A35" s="2">
        <v>43312</v>
      </c>
      <c r="B35" s="3" cm="1">
        <f t="array" aca="1" ref="B35" ca="1">_xll.YCP("^SPX", "total_monthly_return",A35)</f>
        <v>3.7213999999999997E-2</v>
      </c>
      <c r="C35" s="3" cm="1">
        <f t="array" aca="1" ref="C35" ca="1">_xll.YCP("^BBUSATR", "total_monthly_return",A35)</f>
        <v>2.3800000000000001E-4</v>
      </c>
      <c r="D35" s="3" cm="1">
        <f t="array" aca="1" ref="D35" ca="1">_xll.YCP("^BBUSCOHYTR", "total_monthly_return",A35)</f>
        <v>1.0913000000000001E-2</v>
      </c>
      <c r="E35">
        <v>4.4999999999999997E-3</v>
      </c>
      <c r="F35" s="3" cm="1">
        <f t="array" aca="1" ref="F35" ca="1">_xll.YCP("^BBGATR", "total_monthly_return",A35)</f>
        <v>-1.6689999999999999E-3</v>
      </c>
      <c r="G35" s="3" cm="1">
        <f t="array" aca="1" ref="G35" ca="1">_xll.YCP("^MSACWI", "total_monthly_return",A35)</f>
        <v>3.0481999999999999E-2</v>
      </c>
      <c r="H35" s="4">
        <f t="shared" ca="1" si="0"/>
        <v>6.3687499999999994E-3</v>
      </c>
      <c r="I35">
        <f t="shared" ca="1" si="1"/>
        <v>1.23970625E-2</v>
      </c>
      <c r="J35">
        <f t="shared" ca="1" si="3"/>
        <v>1111.4752222360287</v>
      </c>
      <c r="K35" s="5">
        <f t="shared" ca="1" si="4"/>
        <v>0.11147522223602868</v>
      </c>
      <c r="L35">
        <f t="shared" ca="1" si="2"/>
        <v>1.5028399999999999E-2</v>
      </c>
      <c r="M35">
        <f t="shared" ca="1" si="5"/>
        <v>1226.0226795871397</v>
      </c>
      <c r="N35" s="5">
        <f t="shared" ca="1" si="6"/>
        <v>0.2260226795871397</v>
      </c>
    </row>
    <row r="36" spans="1:14" x14ac:dyDescent="0.25">
      <c r="A36" s="2">
        <v>43343</v>
      </c>
      <c r="B36" s="3" cm="1">
        <f t="array" aca="1" ref="B36" ca="1">_xll.YCP("^SPX", "total_monthly_return",A36)</f>
        <v>3.2585000000000003E-2</v>
      </c>
      <c r="C36" s="3" cm="1">
        <f t="array" aca="1" ref="C36" ca="1">_xll.YCP("^BBUSATR", "total_monthly_return",A36)</f>
        <v>6.4349999999999997E-3</v>
      </c>
      <c r="D36" s="3" cm="1">
        <f t="array" aca="1" ref="D36" ca="1">_xll.YCP("^BBUSCOHYTR", "total_monthly_return",A36)</f>
        <v>7.3749999999999996E-3</v>
      </c>
      <c r="E36">
        <v>3.3E-3</v>
      </c>
      <c r="F36" s="3" cm="1">
        <f t="array" aca="1" ref="F36" ca="1">_xll.YCP("^BBGATR", "total_monthly_return",A36)</f>
        <v>1.049E-3</v>
      </c>
      <c r="G36" s="3" cm="1">
        <f t="array" aca="1" ref="G36" ca="1">_xll.YCP("^MSACWI", "total_monthly_return",A36)</f>
        <v>8.3049999999999999E-3</v>
      </c>
      <c r="H36" s="4">
        <f t="shared" ca="1" si="0"/>
        <v>2.8630000000000001E-3</v>
      </c>
      <c r="I36">
        <f t="shared" ca="1" si="1"/>
        <v>4.2234999999999998E-3</v>
      </c>
      <c r="J36">
        <f t="shared" ca="1" si="3"/>
        <v>1116.1695378371426</v>
      </c>
      <c r="K36" s="5">
        <f t="shared" ca="1" si="4"/>
        <v>0.11616953783714257</v>
      </c>
      <c r="L36">
        <f t="shared" ca="1" si="2"/>
        <v>1.6895E-2</v>
      </c>
      <c r="M36">
        <f t="shared" ca="1" si="5"/>
        <v>1246.7363327587645</v>
      </c>
      <c r="N36" s="5">
        <f t="shared" ca="1" si="6"/>
        <v>0.24673633275876455</v>
      </c>
    </row>
    <row r="37" spans="1:14" x14ac:dyDescent="0.25">
      <c r="A37" s="2">
        <v>43373</v>
      </c>
      <c r="B37" s="3" cm="1">
        <f t="array" aca="1" ref="B37" ca="1">_xll.YCP("^SPX", "total_monthly_return",A37)</f>
        <v>5.692E-3</v>
      </c>
      <c r="C37" s="3" cm="1">
        <f t="array" aca="1" ref="C37" ca="1">_xll.YCP("^BBUSATR", "total_monthly_return",A37)</f>
        <v>-6.4400000000000004E-3</v>
      </c>
      <c r="D37" s="3" cm="1">
        <f t="array" aca="1" ref="D37" ca="1">_xll.YCP("^BBUSCOHYTR", "total_monthly_return",A37)</f>
        <v>5.5690000000000002E-3</v>
      </c>
      <c r="E37">
        <v>-2.5999999999999999E-3</v>
      </c>
      <c r="F37" s="3" cm="1">
        <f t="array" aca="1" ref="F37" ca="1">_xll.YCP("^BBGATR", "total_monthly_return",A37)</f>
        <v>-8.6199999999999992E-3</v>
      </c>
      <c r="G37" s="3" cm="1">
        <f t="array" aca="1" ref="G37" ca="1">_xll.YCP("^MSACWI", "total_monthly_return",A37)</f>
        <v>4.7609999999999996E-3</v>
      </c>
      <c r="H37" s="4">
        <f t="shared" ca="1" si="0"/>
        <v>-5.2747499999999999E-3</v>
      </c>
      <c r="I37">
        <f t="shared" ca="1" si="1"/>
        <v>-2.7658124999999996E-3</v>
      </c>
      <c r="J37">
        <f t="shared" ca="1" si="3"/>
        <v>1113.0824221772734</v>
      </c>
      <c r="K37" s="5">
        <f t="shared" ca="1" si="4"/>
        <v>0.11308242217727343</v>
      </c>
      <c r="L37">
        <f t="shared" ca="1" si="2"/>
        <v>-1.5872E-3</v>
      </c>
      <c r="M37">
        <f t="shared" ca="1" si="5"/>
        <v>1244.7575128514097</v>
      </c>
      <c r="N37" s="5">
        <f t="shared" ca="1" si="6"/>
        <v>0.24475751285140973</v>
      </c>
    </row>
    <row r="38" spans="1:14" x14ac:dyDescent="0.25">
      <c r="A38" s="2">
        <v>43404</v>
      </c>
      <c r="B38" s="3" cm="1">
        <f t="array" aca="1" ref="B38" ca="1">_xll.YCP("^SPX", "total_monthly_return",A38)</f>
        <v>-6.8349999999999994E-2</v>
      </c>
      <c r="C38" s="3" cm="1">
        <f t="array" aca="1" ref="C38" ca="1">_xll.YCP("^BBUSATR", "total_monthly_return",A38)</f>
        <v>-7.9019999999999993E-3</v>
      </c>
      <c r="D38" s="3" cm="1">
        <f t="array" aca="1" ref="D38" ca="1">_xll.YCP("^BBUSCOHYTR", "total_monthly_return",A38)</f>
        <v>-1.5987000000000001E-2</v>
      </c>
      <c r="E38">
        <v>-3.2000000000000001E-2</v>
      </c>
      <c r="F38" s="3" cm="1">
        <f t="array" aca="1" ref="F38" ca="1">_xll.YCP("^BBGATR", "total_monthly_return",A38)</f>
        <v>-1.1171E-2</v>
      </c>
      <c r="G38" s="3" cm="1">
        <f t="array" aca="1" ref="G38" ca="1">_xll.YCP("^MSACWI", "total_monthly_return",A38)</f>
        <v>-7.4718999999999994E-2</v>
      </c>
      <c r="H38" s="4">
        <f t="shared" ca="1" si="0"/>
        <v>-2.7057999999999999E-2</v>
      </c>
      <c r="I38">
        <f t="shared" ca="1" si="1"/>
        <v>-3.8973250000000001E-2</v>
      </c>
      <c r="J38">
        <f t="shared" ca="1" si="3"/>
        <v>1069.7019826671531</v>
      </c>
      <c r="K38" s="5">
        <f t="shared" ca="1" si="4"/>
        <v>6.9701982667153065E-2</v>
      </c>
      <c r="L38">
        <f t="shared" ca="1" si="2"/>
        <v>-3.2081199999999997E-2</v>
      </c>
      <c r="M38">
        <f t="shared" ca="1" si="5"/>
        <v>1204.824198130121</v>
      </c>
      <c r="N38" s="5">
        <f t="shared" ca="1" si="6"/>
        <v>0.20482419813012098</v>
      </c>
    </row>
    <row r="39" spans="1:14" x14ac:dyDescent="0.25">
      <c r="A39" s="2">
        <v>43434</v>
      </c>
      <c r="B39" s="3" cm="1">
        <f t="array" aca="1" ref="B39" ca="1">_xll.YCP("^SPX", "total_monthly_return",A39)</f>
        <v>2.0378E-2</v>
      </c>
      <c r="C39" s="3" cm="1">
        <f t="array" aca="1" ref="C39" ca="1">_xll.YCP("^BBUSATR", "total_monthly_return",A39)</f>
        <v>5.9699999999999996E-3</v>
      </c>
      <c r="D39" s="3" cm="1">
        <f t="array" aca="1" ref="D39" ca="1">_xll.YCP("^BBUSCOHYTR", "total_monthly_return",A39)</f>
        <v>-8.6029999999999995E-3</v>
      </c>
      <c r="E39">
        <v>-3.7000000000000002E-3</v>
      </c>
      <c r="F39" s="3" cm="1">
        <f t="array" aca="1" ref="F39" ca="1">_xll.YCP("^BBGATR", "total_monthly_return",A39)</f>
        <v>3.127E-3</v>
      </c>
      <c r="G39" s="3" cm="1">
        <f t="array" aca="1" ref="G39" ca="1">_xll.YCP("^MSACWI", "total_monthly_return",A39)</f>
        <v>1.5099E-2</v>
      </c>
      <c r="H39" s="4">
        <f t="shared" ca="1" si="0"/>
        <v>6.1200000000000004E-3</v>
      </c>
      <c r="I39">
        <f t="shared" ca="1" si="1"/>
        <v>8.3647500000000007E-3</v>
      </c>
      <c r="J39">
        <f t="shared" ca="1" si="3"/>
        <v>1078.649772326668</v>
      </c>
      <c r="K39" s="5">
        <f t="shared" ca="1" si="4"/>
        <v>7.8649772326667977E-2</v>
      </c>
      <c r="L39">
        <f t="shared" ca="1" si="2"/>
        <v>1.1733200000000001E-2</v>
      </c>
      <c r="M39">
        <f t="shared" ca="1" si="5"/>
        <v>1218.9606414116215</v>
      </c>
      <c r="N39" s="5">
        <f t="shared" ca="1" si="6"/>
        <v>0.2189606414116215</v>
      </c>
    </row>
    <row r="40" spans="1:14" x14ac:dyDescent="0.25">
      <c r="A40" s="2">
        <v>43465</v>
      </c>
      <c r="B40" s="3" cm="1">
        <f t="array" aca="1" ref="B40" ca="1">_xll.YCP("^SPX", "total_monthly_return",A40)</f>
        <v>-9.0290999999999996E-2</v>
      </c>
      <c r="C40" s="3" cm="1">
        <f t="array" aca="1" ref="C40" ca="1">_xll.YCP("^BBUSATR", "total_monthly_return",A40)</f>
        <v>1.8370999999999998E-2</v>
      </c>
      <c r="D40" s="3" cm="1">
        <f t="array" aca="1" ref="D40" ca="1">_xll.YCP("^BBUSCOHYTR", "total_monthly_return",A40)</f>
        <v>-2.1409999999999998E-2</v>
      </c>
      <c r="E40">
        <v>-2.5399999999999999E-2</v>
      </c>
      <c r="F40" s="3" cm="1">
        <f t="array" aca="1" ref="F40" ca="1">_xll.YCP("^BBGATR", "total_monthly_return",A40)</f>
        <v>2.0218E-2</v>
      </c>
      <c r="G40" s="3" cm="1">
        <f t="array" aca="1" ref="G40" ca="1">_xll.YCP("^MSACWI", "total_monthly_return",A40)</f>
        <v>-7.0029999999999995E-2</v>
      </c>
      <c r="H40" s="4">
        <f t="shared" ca="1" si="0"/>
        <v>-2.3439999999999989E-3</v>
      </c>
      <c r="I40">
        <f t="shared" ca="1" si="1"/>
        <v>-1.9265499999999998E-2</v>
      </c>
      <c r="J40">
        <f t="shared" ca="1" si="3"/>
        <v>1057.8690451379084</v>
      </c>
      <c r="K40" s="5">
        <f t="shared" ca="1" si="4"/>
        <v>5.7869045137908415E-2</v>
      </c>
      <c r="L40">
        <f t="shared" ca="1" si="2"/>
        <v>-2.5093799999999999E-2</v>
      </c>
      <c r="M40">
        <f t="shared" ca="1" si="5"/>
        <v>1188.3722868681664</v>
      </c>
      <c r="N40" s="5">
        <f t="shared" ca="1" si="6"/>
        <v>0.18837228686816637</v>
      </c>
    </row>
    <row r="41" spans="1:14" x14ac:dyDescent="0.25">
      <c r="A41" s="2">
        <v>43496</v>
      </c>
      <c r="B41" s="3" cm="1">
        <f t="array" aca="1" ref="B41" ca="1">_xll.YCP("^SPX", "total_monthly_return",A41)</f>
        <v>8.0135999999999999E-2</v>
      </c>
      <c r="C41" s="3" cm="1">
        <f t="array" aca="1" ref="C41" ca="1">_xll.YCP("^BBUSATR", "total_monthly_return",A41)</f>
        <v>1.0619E-2</v>
      </c>
      <c r="D41" s="3" cm="1">
        <f t="array" aca="1" ref="D41" ca="1">_xll.YCP("^BBUSCOHYTR", "total_monthly_return",A41)</f>
        <v>4.5203E-2</v>
      </c>
      <c r="E41">
        <v>3.5000000000000003E-2</v>
      </c>
      <c r="F41" s="3" cm="1">
        <f t="array" aca="1" ref="F41" ca="1">_xll.YCP("^BBGATR", "total_monthly_return",A41)</f>
        <v>1.5225000000000001E-2</v>
      </c>
      <c r="G41" s="3" cm="1">
        <f t="array" aca="1" ref="G41" ca="1">_xll.YCP("^MSACWI", "total_monthly_return",A41)</f>
        <v>7.9268000000000005E-2</v>
      </c>
      <c r="H41" s="4">
        <f t="shared" ca="1" si="0"/>
        <v>3.123575E-2</v>
      </c>
      <c r="I41">
        <f t="shared" ca="1" si="1"/>
        <v>4.3243812499999999E-2</v>
      </c>
      <c r="J41">
        <f t="shared" ca="1" si="3"/>
        <v>1103.6153357754063</v>
      </c>
      <c r="K41" s="5">
        <f t="shared" ca="1" si="4"/>
        <v>0.10361533577540627</v>
      </c>
      <c r="L41">
        <f t="shared" ca="1" si="2"/>
        <v>3.8425800000000003E-2</v>
      </c>
      <c r="M41">
        <f t="shared" ca="1" si="5"/>
        <v>1234.036442688905</v>
      </c>
      <c r="N41" s="5">
        <f t="shared" ca="1" si="6"/>
        <v>0.23403644268890503</v>
      </c>
    </row>
    <row r="42" spans="1:14" x14ac:dyDescent="0.25">
      <c r="A42" s="2">
        <v>43524</v>
      </c>
      <c r="B42" s="3" cm="1">
        <f t="array" aca="1" ref="B42" ca="1">_xll.YCP("^SPX", "total_monthly_return",A42)</f>
        <v>3.2107999999999998E-2</v>
      </c>
      <c r="C42" s="3" cm="1">
        <f t="array" aca="1" ref="C42" ca="1">_xll.YCP("^BBUSATR", "total_monthly_return",A42)</f>
        <v>-5.7899999999999998E-4</v>
      </c>
      <c r="D42" s="3" cm="1">
        <f t="array" aca="1" ref="D42" ca="1">_xll.YCP("^BBUSCOHYTR", "total_monthly_return",A42)</f>
        <v>1.6629000000000001E-2</v>
      </c>
      <c r="E42">
        <v>1.3100000000000001E-2</v>
      </c>
      <c r="F42" s="3" cm="1">
        <f t="array" aca="1" ref="F42" ca="1">_xll.YCP("^BBGATR", "total_monthly_return",A42)</f>
        <v>-5.7559999999999998E-3</v>
      </c>
      <c r="G42" s="3" cm="1">
        <f t="array" aca="1" ref="G42" ca="1">_xll.YCP("^MSACWI", "total_monthly_return",A42)</f>
        <v>2.7200999999999999E-2</v>
      </c>
      <c r="H42" s="4">
        <f t="shared" ca="1" si="0"/>
        <v>2.4832500000000002E-3</v>
      </c>
      <c r="I42">
        <f t="shared" ca="1" si="1"/>
        <v>8.6626875000000002E-3</v>
      </c>
      <c r="J42">
        <f t="shared" ca="1" si="3"/>
        <v>1113.1756105494362</v>
      </c>
      <c r="K42" s="5">
        <f t="shared" ca="1" si="4"/>
        <v>0.11317561054943621</v>
      </c>
      <c r="L42">
        <f t="shared" ca="1" si="2"/>
        <v>1.24958E-2</v>
      </c>
      <c r="M42">
        <f t="shared" ca="1" si="5"/>
        <v>1249.4567152694569</v>
      </c>
      <c r="N42" s="5">
        <f t="shared" ca="1" si="6"/>
        <v>0.24945671526945692</v>
      </c>
    </row>
    <row r="43" spans="1:14" x14ac:dyDescent="0.25">
      <c r="A43" s="2">
        <v>43555</v>
      </c>
      <c r="B43" s="3" cm="1">
        <f t="array" aca="1" ref="B43" ca="1">_xll.YCP("^SPX", "total_monthly_return",A43)</f>
        <v>1.9432000000000001E-2</v>
      </c>
      <c r="C43" s="3" cm="1">
        <f t="array" aca="1" ref="C43" ca="1">_xll.YCP("^BBUSATR", "total_monthly_return",A43)</f>
        <v>1.9202E-2</v>
      </c>
      <c r="D43" s="3" cm="1">
        <f t="array" aca="1" ref="D43" ca="1">_xll.YCP("^BBUSCOHYTR", "total_monthly_return",A43)</f>
        <v>9.4059999999999994E-3</v>
      </c>
      <c r="E43">
        <v>5.8999999999999999E-3</v>
      </c>
      <c r="F43" s="3" cm="1">
        <f t="array" aca="1" ref="F43" ca="1">_xll.YCP("^BBGATR", "total_monthly_return",A43)</f>
        <v>1.2519000000000001E-2</v>
      </c>
      <c r="G43" s="3" cm="1">
        <f t="array" aca="1" ref="G43" ca="1">_xll.YCP("^MSACWI", "total_monthly_return",A43)</f>
        <v>1.3198E-2</v>
      </c>
      <c r="H43" s="4">
        <f t="shared" ca="1" si="0"/>
        <v>1.268875E-2</v>
      </c>
      <c r="I43">
        <f t="shared" ca="1" si="1"/>
        <v>1.2816062500000001E-2</v>
      </c>
      <c r="J43">
        <f t="shared" ca="1" si="3"/>
        <v>1127.4421387477134</v>
      </c>
      <c r="K43" s="5">
        <f t="shared" ca="1" si="4"/>
        <v>0.12744213874771343</v>
      </c>
      <c r="L43">
        <f t="shared" ca="1" si="2"/>
        <v>1.9294000000000002E-2</v>
      </c>
      <c r="M43">
        <f t="shared" ca="1" si="5"/>
        <v>1273.5637331338658</v>
      </c>
      <c r="N43" s="5">
        <f t="shared" ca="1" si="6"/>
        <v>0.27356373313386573</v>
      </c>
    </row>
    <row r="44" spans="1:14" x14ac:dyDescent="0.25">
      <c r="A44" s="2">
        <v>43585</v>
      </c>
      <c r="B44" s="3" cm="1">
        <f t="array" aca="1" ref="B44" ca="1">_xll.YCP("^SPX", "total_monthly_return",A44)</f>
        <v>4.0489999999999998E-2</v>
      </c>
      <c r="C44" s="3" cm="1">
        <f t="array" aca="1" ref="C44" ca="1">_xll.YCP("^BBUSATR", "total_monthly_return",A44)</f>
        <v>2.5599999999999999E-4</v>
      </c>
      <c r="D44" s="3" cm="1">
        <f t="array" aca="1" ref="D44" ca="1">_xll.YCP("^BBUSCOHYTR", "total_monthly_return",A44)</f>
        <v>1.4218E-2</v>
      </c>
      <c r="E44">
        <v>1.3299999999999999E-2</v>
      </c>
      <c r="F44" s="3" cm="1">
        <f t="array" aca="1" ref="F44" ca="1">_xll.YCP("^BBGATR", "total_monthly_return",A44)</f>
        <v>-2.9610000000000001E-3</v>
      </c>
      <c r="G44" s="3" cm="1">
        <f t="array" aca="1" ref="G44" ca="1">_xll.YCP("^MSACWI", "total_monthly_return",A44)</f>
        <v>3.4294999999999999E-2</v>
      </c>
      <c r="H44" s="4">
        <f t="shared" ca="1" si="0"/>
        <v>6.3529999999999993E-3</v>
      </c>
      <c r="I44">
        <f t="shared" ca="1" si="1"/>
        <v>1.33385E-2</v>
      </c>
      <c r="J44">
        <f t="shared" ca="1" si="3"/>
        <v>1142.4805257153998</v>
      </c>
      <c r="K44" s="5">
        <f t="shared" ca="1" si="4"/>
        <v>0.14248052571539985</v>
      </c>
      <c r="L44">
        <f t="shared" ca="1" si="2"/>
        <v>1.6349599999999999E-2</v>
      </c>
      <c r="M44">
        <f t="shared" ca="1" si="5"/>
        <v>1294.3859907451113</v>
      </c>
      <c r="N44" s="5">
        <f t="shared" ca="1" si="6"/>
        <v>0.29438599074511124</v>
      </c>
    </row>
    <row r="45" spans="1:14" x14ac:dyDescent="0.25">
      <c r="A45" s="2">
        <v>43616</v>
      </c>
      <c r="B45" s="3" cm="1">
        <f t="array" aca="1" ref="B45" ca="1">_xll.YCP("^SPX", "total_monthly_return",A45)</f>
        <v>-6.3547999999999993E-2</v>
      </c>
      <c r="C45" s="3" cm="1">
        <f t="array" aca="1" ref="C45" ca="1">_xll.YCP("^BBUSATR", "total_monthly_return",A45)</f>
        <v>1.7752E-2</v>
      </c>
      <c r="D45" s="3" cm="1">
        <f t="array" aca="1" ref="D45" ca="1">_xll.YCP("^BBUSCOHYTR", "total_monthly_return",A45)</f>
        <v>-1.1884E-2</v>
      </c>
      <c r="E45">
        <v>-1.89E-2</v>
      </c>
      <c r="F45" s="3" cm="1">
        <f t="array" aca="1" ref="F45" ca="1">_xll.YCP("^BBGATR", "total_monthly_return",A45)</f>
        <v>1.3540999999999999E-2</v>
      </c>
      <c r="G45" s="3" cm="1">
        <f t="array" aca="1" ref="G45" ca="1">_xll.YCP("^MSACWI", "total_monthly_return",A45)</f>
        <v>-5.8486000000000003E-2</v>
      </c>
      <c r="H45" s="4">
        <f t="shared" ca="1" si="0"/>
        <v>-4.465750000000001E-3</v>
      </c>
      <c r="I45">
        <f t="shared" ca="1" si="1"/>
        <v>-1.7970812500000002E-2</v>
      </c>
      <c r="J45">
        <f t="shared" ca="1" si="3"/>
        <v>1121.949222402867</v>
      </c>
      <c r="K45" s="5">
        <f t="shared" ca="1" si="4"/>
        <v>0.12194922240286701</v>
      </c>
      <c r="L45">
        <f t="shared" ca="1" si="2"/>
        <v>-1.4768E-2</v>
      </c>
      <c r="M45">
        <f t="shared" ca="1" si="5"/>
        <v>1275.2704984337875</v>
      </c>
      <c r="N45" s="5">
        <f t="shared" ca="1" si="6"/>
        <v>0.27527049843378742</v>
      </c>
    </row>
    <row r="46" spans="1:14" x14ac:dyDescent="0.25">
      <c r="A46" s="2">
        <v>43646</v>
      </c>
      <c r="B46" s="3" cm="1">
        <f t="array" aca="1" ref="B46" ca="1">_xll.YCP("^SPX", "total_monthly_return",A46)</f>
        <v>7.0475999999999997E-2</v>
      </c>
      <c r="C46" s="3" cm="1">
        <f t="array" aca="1" ref="C46" ca="1">_xll.YCP("^BBUSATR", "total_monthly_return",A46)</f>
        <v>1.2558E-2</v>
      </c>
      <c r="D46" s="3" cm="1">
        <f t="array" aca="1" ref="D46" ca="1">_xll.YCP("^BBUSCOHYTR", "total_monthly_return",A46)</f>
        <v>2.2790999999999999E-2</v>
      </c>
      <c r="E46">
        <v>2.29E-2</v>
      </c>
      <c r="F46" s="3" cm="1">
        <f t="array" aca="1" ref="F46" ca="1">_xll.YCP("^BBGATR", "total_monthly_return",A46)</f>
        <v>2.2172000000000001E-2</v>
      </c>
      <c r="G46" s="3" cm="1">
        <f t="array" aca="1" ref="G46" ca="1">_xll.YCP("^MSACWI", "total_monthly_return",A46)</f>
        <v>6.5947000000000006E-2</v>
      </c>
      <c r="H46" s="4">
        <f t="shared" ca="1" si="0"/>
        <v>3.3115749999999999E-2</v>
      </c>
      <c r="I46">
        <f t="shared" ca="1" si="1"/>
        <v>4.1323562500000001E-2</v>
      </c>
      <c r="J46">
        <f t="shared" ca="1" si="3"/>
        <v>1168.3121612166583</v>
      </c>
      <c r="K46" s="5">
        <f t="shared" ca="1" si="4"/>
        <v>0.16831216121665829</v>
      </c>
      <c r="L46">
        <f t="shared" ca="1" si="2"/>
        <v>3.5725199999999999E-2</v>
      </c>
      <c r="M46">
        <f t="shared" ca="1" si="5"/>
        <v>1320.829792044434</v>
      </c>
      <c r="N46" s="5">
        <f t="shared" ca="1" si="6"/>
        <v>0.32082979204443407</v>
      </c>
    </row>
    <row r="47" spans="1:14" x14ac:dyDescent="0.25">
      <c r="A47" s="2">
        <v>43677</v>
      </c>
      <c r="B47" s="3" cm="1">
        <f t="array" aca="1" ref="B47" ca="1">_xll.YCP("^SPX", "total_monthly_return",A47)</f>
        <v>1.4371999999999999E-2</v>
      </c>
      <c r="C47" s="3" cm="1">
        <f t="array" aca="1" ref="C47" ca="1">_xll.YCP("^BBUSATR", "total_monthly_return",A47)</f>
        <v>2.2000000000000001E-3</v>
      </c>
      <c r="D47" s="3" cm="1">
        <f t="array" aca="1" ref="D47" ca="1">_xll.YCP("^BBUSCOHYTR", "total_monthly_return",A47)</f>
        <v>5.6379999999999998E-3</v>
      </c>
      <c r="E47">
        <v>4.4000000000000003E-3</v>
      </c>
      <c r="F47" s="3" cm="1">
        <f t="array" aca="1" ref="F47" ca="1">_xll.YCP("^BBGATR", "total_monthly_return",A47)</f>
        <v>-2.7789999999999998E-3</v>
      </c>
      <c r="G47" s="3" cm="1">
        <f t="array" aca="1" ref="G47" ca="1">_xll.YCP("^MSACWI", "total_monthly_return",A47)</f>
        <v>3.274E-3</v>
      </c>
      <c r="H47" s="4">
        <f t="shared" ca="1" si="0"/>
        <v>-1.2657499999999997E-3</v>
      </c>
      <c r="I47">
        <f t="shared" ca="1" si="1"/>
        <v>-1.3081249999999985E-4</v>
      </c>
      <c r="J47">
        <f t="shared" ca="1" si="3"/>
        <v>1168.159331382069</v>
      </c>
      <c r="K47" s="5">
        <f t="shared" ca="1" si="4"/>
        <v>0.16815933138206901</v>
      </c>
      <c r="L47">
        <f t="shared" ca="1" si="2"/>
        <v>7.0688000000000001E-3</v>
      </c>
      <c r="M47">
        <f t="shared" ca="1" si="5"/>
        <v>1330.1664736784378</v>
      </c>
      <c r="N47" s="5">
        <f t="shared" ca="1" si="6"/>
        <v>0.33016647367843782</v>
      </c>
    </row>
    <row r="48" spans="1:14" x14ac:dyDescent="0.25">
      <c r="A48" s="2">
        <v>43708</v>
      </c>
      <c r="B48" s="3" cm="1">
        <f t="array" aca="1" ref="B48" ca="1">_xll.YCP("^SPX", "total_monthly_return",A48)</f>
        <v>-1.584E-2</v>
      </c>
      <c r="C48" s="3" cm="1">
        <f t="array" aca="1" ref="C48" ca="1">_xll.YCP("^BBUSATR", "total_monthly_return",A48)</f>
        <v>2.5912000000000001E-2</v>
      </c>
      <c r="D48" s="3" cm="1">
        <f t="array" aca="1" ref="D48" ca="1">_xll.YCP("^BBUSCOHYTR", "total_monthly_return",A48)</f>
        <v>4.0000000000000001E-3</v>
      </c>
      <c r="E48">
        <v>-7.7999999999999996E-3</v>
      </c>
      <c r="F48" s="3" cm="1">
        <f t="array" aca="1" ref="F48" ca="1">_xll.YCP("^BBGATR", "total_monthly_return",A48)</f>
        <v>2.0334999999999999E-2</v>
      </c>
      <c r="G48" s="3" cm="1">
        <f t="array" aca="1" ref="G48" ca="1">_xll.YCP("^MSACWI", "total_monthly_return",A48)</f>
        <v>-2.3265999999999998E-2</v>
      </c>
      <c r="H48" s="4">
        <f t="shared" ca="1" si="0"/>
        <v>9.4347499999999987E-3</v>
      </c>
      <c r="I48">
        <f t="shared" ca="1" si="1"/>
        <v>1.2595624999999994E-3</v>
      </c>
      <c r="J48">
        <f t="shared" ca="1" si="3"/>
        <v>1169.6307010699029</v>
      </c>
      <c r="K48" s="5">
        <f t="shared" ca="1" si="4"/>
        <v>0.16963070106990291</v>
      </c>
      <c r="L48">
        <f t="shared" ca="1" si="2"/>
        <v>9.2111999999999992E-3</v>
      </c>
      <c r="M48">
        <f t="shared" ca="1" si="5"/>
        <v>1342.4189031007845</v>
      </c>
      <c r="N48" s="5">
        <f t="shared" ca="1" si="6"/>
        <v>0.34241890310078454</v>
      </c>
    </row>
    <row r="49" spans="1:14" x14ac:dyDescent="0.25">
      <c r="A49" s="2">
        <v>43738</v>
      </c>
      <c r="B49" s="3" cm="1">
        <f t="array" aca="1" ref="B49" ca="1">_xll.YCP("^SPX", "total_monthly_return",A49)</f>
        <v>1.8710000000000001E-2</v>
      </c>
      <c r="C49" s="3" cm="1">
        <f t="array" aca="1" ref="C49" ca="1">_xll.YCP("^BBUSATR", "total_monthly_return",A49)</f>
        <v>-5.326E-3</v>
      </c>
      <c r="D49" s="3" cm="1">
        <f t="array" aca="1" ref="D49" ca="1">_xll.YCP("^BBUSCOHYTR", "total_monthly_return",A49)</f>
        <v>3.6419999999999998E-3</v>
      </c>
      <c r="E49">
        <v>-2E-3</v>
      </c>
      <c r="F49" s="3" cm="1">
        <f t="array" aca="1" ref="F49" ca="1">_xll.YCP("^BBGATR", "total_monthly_return",A49)</f>
        <v>-1.0172E-2</v>
      </c>
      <c r="G49" s="3" cm="1">
        <f t="array" aca="1" ref="G49" ca="1">_xll.YCP("^MSACWI", "total_monthly_return",A49)</f>
        <v>2.1500999999999999E-2</v>
      </c>
      <c r="H49" s="4">
        <f t="shared" ca="1" si="0"/>
        <v>-2.2537500000000005E-3</v>
      </c>
      <c r="I49">
        <f t="shared" ca="1" si="1"/>
        <v>3.6849374999999994E-3</v>
      </c>
      <c r="J49">
        <f t="shared" ca="1" si="3"/>
        <v>1173.9407171014268</v>
      </c>
      <c r="K49" s="5">
        <f t="shared" ca="1" si="4"/>
        <v>0.17394071710142681</v>
      </c>
      <c r="L49">
        <f t="shared" ca="1" si="2"/>
        <v>4.2884000000000012E-3</v>
      </c>
      <c r="M49">
        <f t="shared" ca="1" si="5"/>
        <v>1348.1757323248421</v>
      </c>
      <c r="N49" s="5">
        <f t="shared" ca="1" si="6"/>
        <v>0.34817573232484211</v>
      </c>
    </row>
    <row r="50" spans="1:14" x14ac:dyDescent="0.25">
      <c r="A50" s="2">
        <v>43769</v>
      </c>
      <c r="B50" s="3" cm="1">
        <f t="array" aca="1" ref="B50" ca="1">_xll.YCP("^SPX", "total_monthly_return",A50)</f>
        <v>2.1659999999999999E-2</v>
      </c>
      <c r="C50" s="3" cm="1">
        <f t="array" aca="1" ref="C50" ca="1">_xll.YCP("^BBUSATR", "total_monthly_return",A50)</f>
        <v>3.0119999999999999E-3</v>
      </c>
      <c r="D50" s="3" cm="1">
        <f t="array" aca="1" ref="D50" ca="1">_xll.YCP("^BBUSCOHYTR", "total_monthly_return",A50)</f>
        <v>2.7620000000000001E-3</v>
      </c>
      <c r="E50">
        <v>5.8999999999999999E-3</v>
      </c>
      <c r="F50" s="3" cm="1">
        <f t="array" aca="1" ref="F50" ca="1">_xll.YCP("^BBGATR", "total_monthly_return",A50)</f>
        <v>6.659E-3</v>
      </c>
      <c r="G50" s="3" cm="1">
        <f t="array" aca="1" ref="G50" ca="1">_xll.YCP("^MSACWI", "total_monthly_return",A50)</f>
        <v>2.7626999999999999E-2</v>
      </c>
      <c r="H50" s="4">
        <f t="shared" ca="1" si="0"/>
        <v>1.1901E-2</v>
      </c>
      <c r="I50">
        <f t="shared" ca="1" si="1"/>
        <v>1.5832499999999999E-2</v>
      </c>
      <c r="J50">
        <f t="shared" ca="1" si="3"/>
        <v>1192.5271335049351</v>
      </c>
      <c r="K50" s="5">
        <f t="shared" ca="1" si="4"/>
        <v>0.19252713350493514</v>
      </c>
      <c r="L50">
        <f t="shared" ca="1" si="2"/>
        <v>1.04712E-2</v>
      </c>
      <c r="M50">
        <f t="shared" ca="1" si="5"/>
        <v>1362.2927500531621</v>
      </c>
      <c r="N50" s="5">
        <f t="shared" ca="1" si="6"/>
        <v>0.36229275005316208</v>
      </c>
    </row>
    <row r="51" spans="1:14" x14ac:dyDescent="0.25">
      <c r="A51" s="2">
        <v>43799</v>
      </c>
      <c r="B51" s="3" cm="1">
        <f t="array" aca="1" ref="B51" ca="1">_xll.YCP("^SPX", "total_monthly_return",A51)</f>
        <v>3.6298999999999998E-2</v>
      </c>
      <c r="C51" s="3" cm="1">
        <f t="array" aca="1" ref="C51" ca="1">_xll.YCP("^BBUSATR", "total_monthly_return",A51)</f>
        <v>-5.0900000000000001E-4</v>
      </c>
      <c r="D51" s="3" cm="1">
        <f t="array" aca="1" ref="D51" ca="1">_xll.YCP("^BBUSCOHYTR", "total_monthly_return",A51)</f>
        <v>3.2650000000000001E-3</v>
      </c>
      <c r="E51">
        <v>1.0500000000000001E-2</v>
      </c>
      <c r="F51" s="3" cm="1">
        <f t="array" aca="1" ref="F51" ca="1">_xll.YCP("^BBGATR", "total_monthly_return",A51)</f>
        <v>-7.5830000000000003E-3</v>
      </c>
      <c r="G51" s="3" cm="1">
        <f t="array" aca="1" ref="G51" ca="1">_xll.YCP("^MSACWI", "total_monthly_return",A51)</f>
        <v>2.4839E-2</v>
      </c>
      <c r="H51" s="4">
        <f t="shared" ca="1" si="0"/>
        <v>5.2249999999999953E-4</v>
      </c>
      <c r="I51">
        <f t="shared" ca="1" si="1"/>
        <v>6.6016249999999999E-3</v>
      </c>
      <c r="J51">
        <f t="shared" ca="1" si="3"/>
        <v>1200.3997504426598</v>
      </c>
      <c r="K51" s="5">
        <f t="shared" ca="1" si="4"/>
        <v>0.20039975044265976</v>
      </c>
      <c r="L51">
        <f t="shared" ca="1" si="2"/>
        <v>1.42142E-2</v>
      </c>
      <c r="M51">
        <f t="shared" ca="1" si="5"/>
        <v>1381.6566516609678</v>
      </c>
      <c r="N51" s="5">
        <f t="shared" ca="1" si="6"/>
        <v>0.38165665166096779</v>
      </c>
    </row>
    <row r="52" spans="1:14" x14ac:dyDescent="0.25">
      <c r="A52" s="2">
        <v>43830</v>
      </c>
      <c r="B52" s="3" cm="1">
        <f t="array" aca="1" ref="B52" ca="1">_xll.YCP("^SPX", "total_monthly_return",A52)</f>
        <v>3.0182E-2</v>
      </c>
      <c r="C52" s="3" cm="1">
        <f t="array" aca="1" ref="C52" ca="1">_xll.YCP("^BBUSATR", "total_monthly_return",A52)</f>
        <v>-6.9700000000000003E-4</v>
      </c>
      <c r="D52" s="3" cm="1">
        <f t="array" aca="1" ref="D52" ca="1">_xll.YCP("^BBUSCOHYTR", "total_monthly_return",A52)</f>
        <v>1.9993E-2</v>
      </c>
      <c r="E52">
        <v>1.89E-2</v>
      </c>
      <c r="F52" s="3" cm="1">
        <f t="array" aca="1" ref="F52" ca="1">_xll.YCP("^BBGATR", "total_monthly_return",A52)</f>
        <v>5.8320000000000004E-3</v>
      </c>
      <c r="G52" s="3" cm="1">
        <f t="array" aca="1" ref="G52" ca="1">_xll.YCP("^MSACWI", "total_monthly_return",A52)</f>
        <v>3.5631000000000003E-2</v>
      </c>
      <c r="H52" s="4">
        <f t="shared" ca="1" si="0"/>
        <v>1.3281750000000002E-2</v>
      </c>
      <c r="I52">
        <f t="shared" ca="1" si="1"/>
        <v>1.8869062500000002E-2</v>
      </c>
      <c r="J52">
        <f t="shared" ca="1" si="3"/>
        <v>1223.0501683587468</v>
      </c>
      <c r="K52" s="5">
        <f t="shared" ca="1" si="4"/>
        <v>0.22305016835874675</v>
      </c>
      <c r="L52">
        <f t="shared" ca="1" si="2"/>
        <v>1.1654600000000001E-2</v>
      </c>
      <c r="M52">
        <f t="shared" ca="1" si="5"/>
        <v>1397.7593072734157</v>
      </c>
      <c r="N52" s="5">
        <f t="shared" ca="1" si="6"/>
        <v>0.39775930727341574</v>
      </c>
    </row>
    <row r="53" spans="1:14" x14ac:dyDescent="0.25">
      <c r="A53" s="2">
        <v>43861</v>
      </c>
      <c r="B53" s="3" cm="1">
        <f t="array" aca="1" ref="B53" ca="1">_xll.YCP("^SPX", "total_monthly_return",A53)</f>
        <v>-3.9199999999999999E-4</v>
      </c>
      <c r="C53" s="3" cm="1">
        <f t="array" aca="1" ref="C53" ca="1">_xll.YCP("^BBUSATR", "total_monthly_return",A53)</f>
        <v>1.9245000000000002E-2</v>
      </c>
      <c r="D53" s="3" cm="1">
        <f t="array" aca="1" ref="D53" ca="1">_xll.YCP("^BBUSCOHYTR", "total_monthly_return",A53)</f>
        <v>2.6600000000000001E-4</v>
      </c>
      <c r="E53">
        <v>-4.4999999999999997E-3</v>
      </c>
      <c r="F53" s="3" cm="1">
        <f t="array" aca="1" ref="F53" ca="1">_xll.YCP("^BBGATR", "total_monthly_return",A53)</f>
        <v>1.2765E-2</v>
      </c>
      <c r="G53" s="3" cm="1">
        <f t="array" aca="1" ref="G53" ca="1">_xll.YCP("^MSACWI", "total_monthly_return",A53)</f>
        <v>-1.0794E-2</v>
      </c>
      <c r="H53" s="4">
        <f t="shared" ca="1" si="0"/>
        <v>6.8752500000000012E-3</v>
      </c>
      <c r="I53">
        <f t="shared" ca="1" si="1"/>
        <v>2.4579375000000014E-3</v>
      </c>
      <c r="J53">
        <f t="shared" ca="1" si="3"/>
        <v>1226.056349231937</v>
      </c>
      <c r="K53" s="5">
        <f t="shared" ca="1" si="4"/>
        <v>0.22605634923193701</v>
      </c>
      <c r="L53">
        <f t="shared" ca="1" si="2"/>
        <v>1.13902E-2</v>
      </c>
      <c r="M53">
        <f t="shared" ca="1" si="5"/>
        <v>1413.6800653351213</v>
      </c>
      <c r="N53" s="5">
        <f t="shared" ca="1" si="6"/>
        <v>0.41368006533512131</v>
      </c>
    </row>
    <row r="54" spans="1:14" x14ac:dyDescent="0.25">
      <c r="A54" s="2">
        <v>43890</v>
      </c>
      <c r="B54" s="3" cm="1">
        <f t="array" aca="1" ref="B54" ca="1">_xll.YCP("^SPX", "total_monthly_return",A54)</f>
        <v>-8.2319000000000003E-2</v>
      </c>
      <c r="C54" s="3" cm="1">
        <f t="array" aca="1" ref="C54" ca="1">_xll.YCP("^BBUSATR", "total_monthly_return",A54)</f>
        <v>1.7999000000000001E-2</v>
      </c>
      <c r="D54" s="3" cm="1">
        <f t="array" aca="1" ref="D54" ca="1">_xll.YCP("^BBUSCOHYTR", "total_monthly_return",A54)</f>
        <v>-1.4101000000000001E-2</v>
      </c>
      <c r="E54">
        <v>-2.2800000000000001E-2</v>
      </c>
      <c r="F54" s="3" cm="1">
        <f t="array" aca="1" ref="F54" ca="1">_xll.YCP("^BBGATR", "total_monthly_return",A54)</f>
        <v>6.7260000000000002E-3</v>
      </c>
      <c r="G54" s="3" cm="1">
        <f t="array" aca="1" ref="G54" ca="1">_xll.YCP("^MSACWI", "total_monthly_return",A54)</f>
        <v>-8.0382999999999996E-2</v>
      </c>
      <c r="H54" s="4">
        <f t="shared" ca="1" si="0"/>
        <v>-1.5051249999999999E-2</v>
      </c>
      <c r="I54">
        <f t="shared" ca="1" si="1"/>
        <v>-3.1384187499999994E-2</v>
      </c>
      <c r="J54">
        <f t="shared" ca="1" si="3"/>
        <v>1187.5775668820763</v>
      </c>
      <c r="K54" s="5">
        <f t="shared" ca="1" si="4"/>
        <v>0.18757756688207633</v>
      </c>
      <c r="L54">
        <f t="shared" ca="1" si="2"/>
        <v>-2.2128200000000001E-2</v>
      </c>
      <c r="M54">
        <f t="shared" ca="1" si="5"/>
        <v>1382.3978701133726</v>
      </c>
      <c r="N54" s="5">
        <f t="shared" ca="1" si="6"/>
        <v>0.38239787011337262</v>
      </c>
    </row>
    <row r="55" spans="1:14" x14ac:dyDescent="0.25">
      <c r="A55" s="2">
        <v>43921</v>
      </c>
      <c r="B55" s="3" cm="1">
        <f t="array" aca="1" ref="B55" ca="1">_xll.YCP("^SPX", "total_monthly_return",A55)</f>
        <v>-0.123513</v>
      </c>
      <c r="C55" s="3" cm="1">
        <f t="array" aca="1" ref="C55" ca="1">_xll.YCP("^BBUSATR", "total_monthly_return",A55)</f>
        <v>-5.8849999999999996E-3</v>
      </c>
      <c r="D55" s="3" cm="1">
        <f t="array" aca="1" ref="D55" ca="1">_xll.YCP("^BBUSCOHYTR", "total_monthly_return",A55)</f>
        <v>-0.114596</v>
      </c>
      <c r="E55">
        <v>-9.0800000000000006E-2</v>
      </c>
      <c r="F55" s="3" cm="1">
        <f t="array" aca="1" ref="F55" ca="1">_xll.YCP("^BBGATR", "total_monthly_return",A55)</f>
        <v>-2.2405999999999999E-2</v>
      </c>
      <c r="G55" s="3" cm="1">
        <f t="array" aca="1" ref="G55" ca="1">_xll.YCP("^MSACWI", "total_monthly_return",A55)</f>
        <v>-0.13439799999999999</v>
      </c>
      <c r="H55" s="4">
        <f t="shared" ca="1" si="0"/>
        <v>-5.0403999999999997E-2</v>
      </c>
      <c r="I55">
        <f t="shared" ca="1" si="1"/>
        <v>-7.1402499999999994E-2</v>
      </c>
      <c r="J55">
        <f t="shared" ca="1" si="3"/>
        <v>1102.7815596627788</v>
      </c>
      <c r="K55" s="5">
        <f t="shared" ca="1" si="4"/>
        <v>0.10278155966277881</v>
      </c>
      <c r="L55">
        <f t="shared" ca="1" si="2"/>
        <v>-5.2936200000000003E-2</v>
      </c>
      <c r="M55">
        <f t="shared" ca="1" si="5"/>
        <v>1309.2189799814771</v>
      </c>
      <c r="N55" s="5">
        <f t="shared" ca="1" si="6"/>
        <v>0.30921897998147713</v>
      </c>
    </row>
    <row r="56" spans="1:14" x14ac:dyDescent="0.25">
      <c r="A56" s="2">
        <v>43951</v>
      </c>
      <c r="B56" s="3" cm="1">
        <f t="array" aca="1" ref="B56" ca="1">_xll.YCP("^SPX", "total_monthly_return",A56)</f>
        <v>0.128194</v>
      </c>
      <c r="C56" s="3" cm="1">
        <f t="array" aca="1" ref="C56" ca="1">_xll.YCP("^BBUSATR", "total_monthly_return",A56)</f>
        <v>1.7776E-2</v>
      </c>
      <c r="D56" s="3" cm="1">
        <f t="array" aca="1" ref="D56" ca="1">_xll.YCP("^BBUSCOHYTR", "total_monthly_return",A56)</f>
        <v>4.5053999999999997E-2</v>
      </c>
      <c r="E56">
        <v>4.5199999999999997E-2</v>
      </c>
      <c r="F56" s="3" cm="1">
        <f t="array" aca="1" ref="F56" ca="1">_xll.YCP("^BBGATR", "total_monthly_return",A56)</f>
        <v>1.9633000000000001E-2</v>
      </c>
      <c r="G56" s="3" cm="1">
        <f t="array" aca="1" ref="G56" ca="1">_xll.YCP("^MSACWI", "total_monthly_return",A56)</f>
        <v>0.107631</v>
      </c>
      <c r="H56" s="4">
        <f t="shared" ca="1" si="0"/>
        <v>4.1632500000000003E-2</v>
      </c>
      <c r="I56">
        <f t="shared" ca="1" si="1"/>
        <v>5.8132125000000007E-2</v>
      </c>
      <c r="J56">
        <f t="shared" ca="1" si="3"/>
        <v>1166.8885951367904</v>
      </c>
      <c r="K56" s="5">
        <f t="shared" ca="1" si="4"/>
        <v>0.16688859513679041</v>
      </c>
      <c r="L56">
        <f t="shared" ca="1" si="2"/>
        <v>6.1943200000000004E-2</v>
      </c>
      <c r="M56">
        <f t="shared" ca="1" si="5"/>
        <v>1390.3161931022657</v>
      </c>
      <c r="N56" s="5">
        <f t="shared" ca="1" si="6"/>
        <v>0.39031619310226573</v>
      </c>
    </row>
    <row r="57" spans="1:14" x14ac:dyDescent="0.25">
      <c r="A57" s="2">
        <v>43982</v>
      </c>
      <c r="B57" s="3" cm="1">
        <f t="array" aca="1" ref="B57" ca="1">_xll.YCP("^SPX", "total_monthly_return",A57)</f>
        <v>4.7627999999999997E-2</v>
      </c>
      <c r="C57" s="3" cm="1">
        <f t="array" aca="1" ref="C57" ca="1">_xll.YCP("^BBUSATR", "total_monthly_return",A57)</f>
        <v>4.6560000000000004E-3</v>
      </c>
      <c r="D57" s="3" cm="1">
        <f t="array" aca="1" ref="D57" ca="1">_xll.YCP("^BBUSCOHYTR", "total_monthly_return",A57)</f>
        <v>4.4054000000000003E-2</v>
      </c>
      <c r="E57">
        <v>2.3800000000000002E-2</v>
      </c>
      <c r="F57" s="3" cm="1">
        <f t="array" aca="1" ref="F57" ca="1">_xll.YCP("^BBGATR", "total_monthly_return",A57)</f>
        <v>4.3870000000000003E-3</v>
      </c>
      <c r="G57" s="3" cm="1">
        <f t="array" aca="1" ref="G57" ca="1">_xll.YCP("^MSACWI", "total_monthly_return",A57)</f>
        <v>4.4096000000000003E-2</v>
      </c>
      <c r="H57" s="4">
        <f t="shared" ca="1" si="0"/>
        <v>1.4314250000000001E-2</v>
      </c>
      <c r="I57">
        <f t="shared" ca="1" si="1"/>
        <v>2.17596875E-2</v>
      </c>
      <c r="J57">
        <f t="shared" ca="1" si="3"/>
        <v>1192.2797263142809</v>
      </c>
      <c r="K57" s="5">
        <f t="shared" ca="1" si="4"/>
        <v>0.19227972631428089</v>
      </c>
      <c r="L57">
        <f t="shared" ca="1" si="2"/>
        <v>2.1844800000000001E-2</v>
      </c>
      <c r="M57">
        <f t="shared" ca="1" si="5"/>
        <v>1420.6873722773462</v>
      </c>
      <c r="N57" s="5">
        <f t="shared" ca="1" si="6"/>
        <v>0.42068737227734621</v>
      </c>
    </row>
    <row r="58" spans="1:14" x14ac:dyDescent="0.25">
      <c r="A58" s="2">
        <v>44012</v>
      </c>
      <c r="B58" s="3" cm="1">
        <f t="array" aca="1" ref="B58" ca="1">_xll.YCP("^SPX", "total_monthly_return",A58)</f>
        <v>1.9886999999999998E-2</v>
      </c>
      <c r="C58" s="3" cm="1">
        <f t="array" aca="1" ref="C58" ca="1">_xll.YCP("^BBUSATR", "total_monthly_return",A58)</f>
        <v>6.2989999999999999E-3</v>
      </c>
      <c r="D58" s="3" cm="1">
        <f t="array" aca="1" ref="D58" ca="1">_xll.YCP("^BBUSCOHYTR", "total_monthly_return",A58)</f>
        <v>9.7879999999999998E-3</v>
      </c>
      <c r="E58">
        <v>2.0199999999999999E-2</v>
      </c>
      <c r="F58" s="3" cm="1">
        <f t="array" aca="1" ref="F58" ca="1">_xll.YCP("^BBGATR", "total_monthly_return",A58)</f>
        <v>8.8839999999999995E-3</v>
      </c>
      <c r="G58" s="3" cm="1">
        <f t="array" aca="1" ref="G58" ca="1">_xll.YCP("^MSACWI", "total_monthly_return",A58)</f>
        <v>3.2388E-2</v>
      </c>
      <c r="H58" s="4">
        <f t="shared" ca="1" si="0"/>
        <v>1.4759999999999999E-2</v>
      </c>
      <c r="I58">
        <f t="shared" ca="1" si="1"/>
        <v>1.9167E-2</v>
      </c>
      <c r="J58">
        <f t="shared" ca="1" si="3"/>
        <v>1215.1321518285465</v>
      </c>
      <c r="K58" s="5">
        <f t="shared" ca="1" si="4"/>
        <v>0.2151321518285465</v>
      </c>
      <c r="L58">
        <f t="shared" ca="1" si="2"/>
        <v>1.17342E-2</v>
      </c>
      <c r="M58">
        <f t="shared" ca="1" si="5"/>
        <v>1437.358002041123</v>
      </c>
      <c r="N58" s="5">
        <f t="shared" ca="1" si="6"/>
        <v>0.43735800204112296</v>
      </c>
    </row>
    <row r="59" spans="1:14" x14ac:dyDescent="0.25">
      <c r="A59" s="2">
        <v>44043</v>
      </c>
      <c r="B59" s="3" cm="1">
        <f t="array" aca="1" ref="B59" ca="1">_xll.YCP("^SPX", "total_monthly_return",A59)</f>
        <v>5.6384999999999998E-2</v>
      </c>
      <c r="C59" s="3" cm="1">
        <f t="array" aca="1" ref="C59" ca="1">_xll.YCP("^BBUSATR", "total_monthly_return",A59)</f>
        <v>1.4937000000000001E-2</v>
      </c>
      <c r="D59" s="3" cm="1">
        <f t="array" aca="1" ref="D59" ca="1">_xll.YCP("^BBUSCOHYTR", "total_monthly_return",A59)</f>
        <v>4.6880999999999999E-2</v>
      </c>
      <c r="E59">
        <v>2.9700000000000001E-2</v>
      </c>
      <c r="F59" s="3" cm="1">
        <f t="array" aca="1" ref="F59" ca="1">_xll.YCP("^BBGATR", "total_monthly_return",A59)</f>
        <v>3.1892999999999998E-2</v>
      </c>
      <c r="G59" s="3" cm="1">
        <f t="array" aca="1" ref="G59" ca="1">_xll.YCP("^MSACWI", "total_monthly_return",A59)</f>
        <v>5.3288000000000002E-2</v>
      </c>
      <c r="H59" s="4">
        <f t="shared" ca="1" si="0"/>
        <v>3.7241749999999997E-2</v>
      </c>
      <c r="I59">
        <f t="shared" ca="1" si="1"/>
        <v>4.12533125E-2</v>
      </c>
      <c r="J59">
        <f t="shared" ca="1" si="3"/>
        <v>1265.2603782167271</v>
      </c>
      <c r="K59" s="5">
        <f t="shared" ca="1" si="4"/>
        <v>0.2652603782167271</v>
      </c>
      <c r="L59">
        <f t="shared" ca="1" si="2"/>
        <v>3.1516200000000001E-2</v>
      </c>
      <c r="M59">
        <f t="shared" ca="1" si="5"/>
        <v>1482.6580643050513</v>
      </c>
      <c r="N59" s="5">
        <f t="shared" ca="1" si="6"/>
        <v>0.48265806430505132</v>
      </c>
    </row>
    <row r="60" spans="1:14" x14ac:dyDescent="0.25">
      <c r="A60" s="2">
        <v>44074</v>
      </c>
      <c r="B60" s="3" cm="1">
        <f t="array" aca="1" ref="B60" ca="1">_xll.YCP("^SPX", "total_monthly_return",A60)</f>
        <v>7.1881E-2</v>
      </c>
      <c r="C60" s="3" cm="1">
        <f t="array" aca="1" ref="C60" ca="1">_xll.YCP("^BBUSATR", "total_monthly_return",A60)</f>
        <v>-8.0719999999999993E-3</v>
      </c>
      <c r="D60" s="3" cm="1">
        <f t="array" aca="1" ref="D60" ca="1">_xll.YCP("^BBUSCOHYTR", "total_monthly_return",A60)</f>
        <v>9.5060000000000006E-3</v>
      </c>
      <c r="E60">
        <v>2.3699999999999999E-2</v>
      </c>
      <c r="F60" s="3" cm="1">
        <f t="array" aca="1" ref="F60" ca="1">_xll.YCP("^BBGATR", "total_monthly_return",A60)</f>
        <v>-1.5250000000000001E-3</v>
      </c>
      <c r="G60" s="3" cm="1">
        <f t="array" aca="1" ref="G60" ca="1">_xll.YCP("^MSACWI", "total_monthly_return",A60)</f>
        <v>6.1582999999999999E-2</v>
      </c>
      <c r="H60" s="4">
        <f t="shared" ca="1" si="0"/>
        <v>1.4251999999999999E-2</v>
      </c>
      <c r="I60">
        <f t="shared" ca="1" si="1"/>
        <v>2.6084749999999997E-2</v>
      </c>
      <c r="J60">
        <f t="shared" ca="1" si="3"/>
        <v>1298.2643788674159</v>
      </c>
      <c r="K60" s="5">
        <f t="shared" ca="1" si="4"/>
        <v>0.29826437886741586</v>
      </c>
      <c r="L60">
        <f t="shared" ca="1" si="2"/>
        <v>2.3909200000000002E-2</v>
      </c>
      <c r="M60">
        <f t="shared" ca="1" si="5"/>
        <v>1518.1072324961337</v>
      </c>
      <c r="N60" s="5">
        <f t="shared" ca="1" si="6"/>
        <v>0.51810723249613377</v>
      </c>
    </row>
    <row r="61" spans="1:14" x14ac:dyDescent="0.25">
      <c r="A61" s="2">
        <v>44104</v>
      </c>
      <c r="B61" s="3" cm="1">
        <f t="array" aca="1" ref="B61" ca="1">_xll.YCP("^SPX", "total_monthly_return",A61)</f>
        <v>-3.7997000000000003E-2</v>
      </c>
      <c r="C61" s="3" cm="1">
        <f t="array" aca="1" ref="C61" ca="1">_xll.YCP("^BBUSATR", "total_monthly_return",A61)</f>
        <v>-5.4799999999999998E-4</v>
      </c>
      <c r="D61" s="3" cm="1">
        <f t="array" aca="1" ref="D61" ca="1">_xll.YCP("^BBUSCOHYTR", "total_monthly_return",A61)</f>
        <v>-1.0286E-2</v>
      </c>
      <c r="E61">
        <v>-9.2999999999999992E-3</v>
      </c>
      <c r="F61" s="3" cm="1">
        <f t="array" aca="1" ref="F61" ca="1">_xll.YCP("^BBGATR", "total_monthly_return",A61)</f>
        <v>-3.5969999999999999E-3</v>
      </c>
      <c r="G61" s="3" cm="1">
        <f t="array" aca="1" ref="G61" ca="1">_xll.YCP("^MSACWI", "total_monthly_return",A61)</f>
        <v>-3.1872999999999999E-2</v>
      </c>
      <c r="H61" s="4">
        <f t="shared" ca="1" si="0"/>
        <v>-1.0666E-2</v>
      </c>
      <c r="I61">
        <f t="shared" ca="1" si="1"/>
        <v>-1.5967749999999999E-2</v>
      </c>
      <c r="J61">
        <f t="shared" ca="1" si="3"/>
        <v>1277.5340178317558</v>
      </c>
      <c r="K61" s="5">
        <f t="shared" ca="1" si="4"/>
        <v>0.2775340178317558</v>
      </c>
      <c r="L61">
        <f t="shared" ca="1" si="2"/>
        <v>-1.5527600000000003E-2</v>
      </c>
      <c r="M61">
        <f t="shared" ca="1" si="5"/>
        <v>1494.5346706328269</v>
      </c>
      <c r="N61" s="5">
        <f t="shared" ca="1" si="6"/>
        <v>0.49453467063282686</v>
      </c>
    </row>
    <row r="62" spans="1:14" x14ac:dyDescent="0.25">
      <c r="A62" s="2">
        <v>44135</v>
      </c>
      <c r="B62" s="3" cm="1">
        <f t="array" aca="1" ref="B62" ca="1">_xll.YCP("^SPX", "total_monthly_return",A62)</f>
        <v>-2.6594E-2</v>
      </c>
      <c r="C62" s="3" cm="1">
        <f t="array" aca="1" ref="C62" ca="1">_xll.YCP("^BBUSATR", "total_monthly_return",A62)</f>
        <v>-4.4650000000000002E-3</v>
      </c>
      <c r="D62" s="3" cm="1">
        <f t="array" aca="1" ref="D62" ca="1">_xll.YCP("^BBUSCOHYTR", "total_monthly_return",A62)</f>
        <v>5.078E-3</v>
      </c>
      <c r="E62">
        <v>1.6999999999999999E-3</v>
      </c>
      <c r="F62" s="3" cm="1">
        <f t="array" aca="1" ref="F62" ca="1">_xll.YCP("^BBGATR", "total_monthly_return",A62)</f>
        <v>9.5600000000000004E-4</v>
      </c>
      <c r="G62" s="3" cm="1">
        <f t="array" aca="1" ref="G62" ca="1">_xll.YCP("^MSACWI", "total_monthly_return",A62)</f>
        <v>-2.4065E-2</v>
      </c>
      <c r="H62" s="4">
        <f t="shared" ca="1" si="0"/>
        <v>-5.2992500000000001E-3</v>
      </c>
      <c r="I62">
        <f t="shared" ca="1" si="1"/>
        <v>-9.9906875000000013E-3</v>
      </c>
      <c r="J62">
        <f t="shared" ca="1" si="3"/>
        <v>1264.7705746889794</v>
      </c>
      <c r="K62" s="5">
        <f t="shared" ca="1" si="4"/>
        <v>0.26477057468897941</v>
      </c>
      <c r="L62">
        <f t="shared" ca="1" si="2"/>
        <v>-1.3316600000000001E-2</v>
      </c>
      <c r="M62">
        <f t="shared" ca="1" si="5"/>
        <v>1474.6325502378777</v>
      </c>
      <c r="N62" s="5">
        <f t="shared" ca="1" si="6"/>
        <v>0.4746325502378777</v>
      </c>
    </row>
    <row r="63" spans="1:14" x14ac:dyDescent="0.25">
      <c r="A63" s="2">
        <v>44165</v>
      </c>
      <c r="B63" s="3" cm="1">
        <f t="array" aca="1" ref="B63" ca="1">_xll.YCP("^SPX", "total_monthly_return",A63)</f>
        <v>0.10946400000000001</v>
      </c>
      <c r="C63" s="3" cm="1">
        <f t="array" aca="1" ref="C63" ca="1">_xll.YCP("^BBUSATR", "total_monthly_return",A63)</f>
        <v>9.8119999999999995E-3</v>
      </c>
      <c r="D63" s="3" cm="1">
        <f t="array" aca="1" ref="D63" ca="1">_xll.YCP("^BBUSCOHYTR", "total_monthly_return",A63)</f>
        <v>3.9559999999999998E-2</v>
      </c>
      <c r="E63">
        <v>5.8599999999999999E-2</v>
      </c>
      <c r="F63" s="3" cm="1">
        <f t="array" aca="1" ref="F63" ca="1">_xll.YCP("^BBGATR", "total_monthly_return",A63)</f>
        <v>1.8182E-2</v>
      </c>
      <c r="G63" s="3" cm="1">
        <f t="array" aca="1" ref="G63" ca="1">_xll.YCP("^MSACWI", "total_monthly_return",A63)</f>
        <v>0.12363300000000001</v>
      </c>
      <c r="H63" s="4">
        <f t="shared" ca="1" si="0"/>
        <v>4.4544750000000001E-2</v>
      </c>
      <c r="I63">
        <f t="shared" ca="1" si="1"/>
        <v>6.4316812500000001E-2</v>
      </c>
      <c r="J63">
        <f t="shared" ca="1" si="3"/>
        <v>1346.1165865967678</v>
      </c>
      <c r="K63" s="5">
        <f t="shared" ca="1" si="4"/>
        <v>0.34611658659676775</v>
      </c>
      <c r="L63">
        <f t="shared" ca="1" si="2"/>
        <v>4.967280000000001E-2</v>
      </c>
      <c r="M63">
        <f t="shared" ca="1" si="5"/>
        <v>1547.8816779793337</v>
      </c>
      <c r="N63" s="5">
        <f t="shared" ca="1" si="6"/>
        <v>0.54788167797933374</v>
      </c>
    </row>
    <row r="64" spans="1:14" x14ac:dyDescent="0.25">
      <c r="A64" s="2">
        <v>44196</v>
      </c>
      <c r="B64" s="3" cm="1">
        <f t="array" aca="1" ref="B64" ca="1">_xll.YCP("^SPX", "total_monthly_return",A64)</f>
        <v>3.8448000000000003E-2</v>
      </c>
      <c r="C64" s="3" cm="1">
        <f t="array" aca="1" ref="C64" ca="1">_xll.YCP("^BBUSATR", "total_monthly_return",A64)</f>
        <v>1.3780000000000001E-3</v>
      </c>
      <c r="D64" s="3" cm="1">
        <f t="array" aca="1" ref="D64" ca="1">_xll.YCP("^BBUSCOHYTR", "total_monthly_return",A64)</f>
        <v>1.8821000000000001E-2</v>
      </c>
      <c r="E64">
        <v>4.5900000000000003E-2</v>
      </c>
      <c r="F64" s="3" cm="1">
        <f t="array" aca="1" ref="F64" ca="1">_xll.YCP("^BBGATR", "total_monthly_return",A64)</f>
        <v>1.3431999999999999E-2</v>
      </c>
      <c r="G64" s="3" cm="1">
        <f t="array" aca="1" ref="G64" ca="1">_xll.YCP("^MSACWI", "total_monthly_return",A64)</f>
        <v>4.6796999999999998E-2</v>
      </c>
      <c r="H64" s="4">
        <f t="shared" ca="1" si="0"/>
        <v>2.1773250000000001E-2</v>
      </c>
      <c r="I64">
        <f t="shared" ca="1" si="1"/>
        <v>2.8029187500000004E-2</v>
      </c>
      <c r="J64">
        <f t="shared" ca="1" si="3"/>
        <v>1383.8471407993486</v>
      </c>
      <c r="K64" s="5">
        <f t="shared" ca="1" si="4"/>
        <v>0.38384714079934862</v>
      </c>
      <c r="L64">
        <f t="shared" ca="1" si="2"/>
        <v>1.6206000000000002E-2</v>
      </c>
      <c r="M64">
        <f t="shared" ca="1" si="5"/>
        <v>1572.9666484526667</v>
      </c>
      <c r="N64" s="5">
        <f t="shared" ca="1" si="6"/>
        <v>0.57296664845266676</v>
      </c>
    </row>
    <row r="65" spans="1:14" x14ac:dyDescent="0.25">
      <c r="A65" s="2">
        <v>44227</v>
      </c>
      <c r="B65" s="3" cm="1">
        <f t="array" aca="1" ref="B65" ca="1">_xll.YCP("^SPX", "total_monthly_return",A65)</f>
        <v>-1.0096000000000001E-2</v>
      </c>
      <c r="C65" s="3" cm="1">
        <f t="array" aca="1" ref="C65" ca="1">_xll.YCP("^BBUSATR", "total_monthly_return",A65)</f>
        <v>-7.1700000000000002E-3</v>
      </c>
      <c r="D65" s="3" cm="1">
        <f t="array" aca="1" ref="D65" ca="1">_xll.YCP("^BBUSCOHYTR", "total_monthly_return",A65)</f>
        <v>3.3080000000000002E-3</v>
      </c>
      <c r="E65">
        <v>1.2200000000000001E-2</v>
      </c>
      <c r="F65" s="3" cm="1">
        <f t="array" aca="1" ref="F65" ca="1">_xll.YCP("^BBGATR", "total_monthly_return",A65)</f>
        <v>-8.8070000000000006E-3</v>
      </c>
      <c r="G65" s="3" cm="1">
        <f t="array" aca="1" ref="G65" ca="1">_xll.YCP("^MSACWI", "total_monthly_return",A65)</f>
        <v>-4.3070000000000001E-3</v>
      </c>
      <c r="H65" s="4">
        <f t="shared" ca="1" si="0"/>
        <v>-7.6819999999999996E-3</v>
      </c>
      <c r="I65">
        <f t="shared" ca="1" si="1"/>
        <v>-6.8382499999999988E-3</v>
      </c>
      <c r="J65">
        <f t="shared" ca="1" si="3"/>
        <v>1374.3840480887775</v>
      </c>
      <c r="K65" s="5">
        <f t="shared" ca="1" si="4"/>
        <v>0.37438404808877751</v>
      </c>
      <c r="L65">
        <f t="shared" ca="1" si="2"/>
        <v>-8.3404000000000013E-3</v>
      </c>
      <c r="M65">
        <f t="shared" ca="1" si="5"/>
        <v>1559.8474774179122</v>
      </c>
      <c r="N65" s="5">
        <f t="shared" ca="1" si="6"/>
        <v>0.55984747741791219</v>
      </c>
    </row>
    <row r="66" spans="1:14" x14ac:dyDescent="0.25">
      <c r="A66" s="2">
        <v>44255</v>
      </c>
      <c r="B66" s="3" cm="1">
        <f t="array" aca="1" ref="B66" ca="1">_xll.YCP("^SPX", "total_monthly_return",A66)</f>
        <v>2.7574999999999999E-2</v>
      </c>
      <c r="C66" s="3" cm="1">
        <f t="array" aca="1" ref="C66" ca="1">_xll.YCP("^BBUSATR", "total_monthly_return",A66)</f>
        <v>-1.4441000000000001E-2</v>
      </c>
      <c r="D66" s="3" cm="1">
        <f t="array" aca="1" ref="D66" ca="1">_xll.YCP("^BBUSCOHYTR", "total_monthly_return",A66)</f>
        <v>3.6740000000000002E-3</v>
      </c>
      <c r="E66">
        <v>3.6700000000000003E-2</v>
      </c>
      <c r="F66" s="3" cm="1">
        <f t="array" aca="1" ref="F66" ca="1">_xll.YCP("^BBGATR", "total_monthly_return",A66)</f>
        <v>-1.7212999999999999E-2</v>
      </c>
      <c r="G66" s="3" cm="1">
        <f t="array" aca="1" ref="G66" ca="1">_xll.YCP("^MSACWI", "total_monthly_return",A66)</f>
        <v>2.3460999999999999E-2</v>
      </c>
      <c r="H66" s="4">
        <f t="shared" ca="1" si="0"/>
        <v>-7.0444999999999995E-3</v>
      </c>
      <c r="I66">
        <f t="shared" ca="1" si="1"/>
        <v>5.8187499999999993E-4</v>
      </c>
      <c r="J66">
        <f t="shared" ca="1" si="3"/>
        <v>1375.1837678067591</v>
      </c>
      <c r="K66" s="5">
        <f t="shared" ca="1" si="4"/>
        <v>0.37518376780675911</v>
      </c>
      <c r="L66">
        <f t="shared" ca="1" si="2"/>
        <v>2.3654000000000001E-3</v>
      </c>
      <c r="M66">
        <f t="shared" ca="1" si="5"/>
        <v>1563.5371406409965</v>
      </c>
      <c r="N66" s="5">
        <f t="shared" ca="1" si="6"/>
        <v>0.56353714064099658</v>
      </c>
    </row>
    <row r="67" spans="1:14" x14ac:dyDescent="0.25">
      <c r="A67" s="2">
        <v>44286</v>
      </c>
      <c r="B67" s="3" cm="1">
        <f t="array" aca="1" ref="B67" ca="1">_xll.YCP("^SPX", "total_monthly_return",A67)</f>
        <v>4.3796000000000002E-2</v>
      </c>
      <c r="C67" s="3" cm="1">
        <f t="array" aca="1" ref="C67" ca="1">_xll.YCP("^BBUSATR", "total_monthly_return",A67)</f>
        <v>-1.2487E-2</v>
      </c>
      <c r="D67" s="3" cm="1">
        <f t="array" aca="1" ref="D67" ca="1">_xll.YCP("^BBUSCOHYTR", "total_monthly_return",A67)</f>
        <v>1.4959999999999999E-3</v>
      </c>
      <c r="E67">
        <v>7.7000000000000002E-3</v>
      </c>
      <c r="F67" s="3" cm="1">
        <f t="array" aca="1" ref="F67" ca="1">_xll.YCP("^BBGATR", "total_monthly_return",A67)</f>
        <v>-1.9237000000000001E-2</v>
      </c>
      <c r="G67" s="3" cm="1">
        <f t="array" aca="1" ref="G67" ca="1">_xll.YCP("^MSACWI", "total_monthly_return",A67)</f>
        <v>2.7241000000000001E-2</v>
      </c>
      <c r="H67" s="4">
        <f t="shared" ref="H67:H124" ca="1" si="7">0.75*F67+0.25*G67</f>
        <v>-7.6174999999999993E-3</v>
      </c>
      <c r="I67">
        <f t="shared" ref="I67:I124" ca="1" si="8">(0.25*G67)+(H67*0.75)</f>
        <v>1.0971250000000009E-3</v>
      </c>
      <c r="J67">
        <f t="shared" ca="1" si="3"/>
        <v>1376.6925162980142</v>
      </c>
      <c r="K67" s="5">
        <f t="shared" ca="1" si="4"/>
        <v>0.3766925162980142</v>
      </c>
      <c r="L67">
        <f t="shared" ref="L67:L124" ca="1" si="9">(0.4*B67)+(C67*0.6)</f>
        <v>1.0026200000000001E-2</v>
      </c>
      <c r="M67">
        <f t="shared" ca="1" si="5"/>
        <v>1579.2134767204914</v>
      </c>
      <c r="N67" s="5">
        <f t="shared" ca="1" si="6"/>
        <v>0.57921347672049139</v>
      </c>
    </row>
    <row r="68" spans="1:14" x14ac:dyDescent="0.25">
      <c r="A68" s="2">
        <v>44316</v>
      </c>
      <c r="B68" s="3" cm="1">
        <f t="array" aca="1" ref="B68" ca="1">_xll.YCP("^SPX", "total_monthly_return",A68)</f>
        <v>5.3369E-2</v>
      </c>
      <c r="C68" s="3" cm="1">
        <f t="array" aca="1" ref="C68" ca="1">_xll.YCP("^BBUSATR", "total_monthly_return",A68)</f>
        <v>7.9000000000000008E-3</v>
      </c>
      <c r="D68" s="3" cm="1">
        <f t="array" aca="1" ref="D68" ca="1">_xll.YCP("^BBUSCOHYTR", "total_monthly_return",A68)</f>
        <v>1.0862E-2</v>
      </c>
      <c r="E68">
        <v>2.2100000000000002E-2</v>
      </c>
      <c r="F68" s="3" cm="1">
        <f t="array" aca="1" ref="F68" ca="1">_xll.YCP("^BBGATR", "total_monthly_return",A68)</f>
        <v>1.2633E-2</v>
      </c>
      <c r="G68" s="3" cm="1">
        <f t="array" aca="1" ref="G68" ca="1">_xll.YCP("^MSACWI", "total_monthly_return",A68)</f>
        <v>4.4136000000000002E-2</v>
      </c>
      <c r="H68" s="4">
        <f t="shared" ca="1" si="7"/>
        <v>2.0508749999999999E-2</v>
      </c>
      <c r="I68">
        <f t="shared" ca="1" si="8"/>
        <v>2.64155625E-2</v>
      </c>
      <c r="J68">
        <f t="shared" ref="J68:J124" ca="1" si="10">J67*(1+I68)</f>
        <v>1413.0586235055666</v>
      </c>
      <c r="K68" s="5">
        <f t="shared" ref="K68:K124" ca="1" si="11">(J68-1000)/1000</f>
        <v>0.4130586235055666</v>
      </c>
      <c r="L68">
        <f t="shared" ca="1" si="9"/>
        <v>2.6087600000000002E-2</v>
      </c>
      <c r="M68">
        <f t="shared" ref="M68:M124" ca="1" si="12">M67*(1+L68)</f>
        <v>1620.4113662157849</v>
      </c>
      <c r="N68" s="5">
        <f t="shared" ref="N68:N124" ca="1" si="13">(M68-1000)/1000</f>
        <v>0.62041136621578497</v>
      </c>
    </row>
    <row r="69" spans="1:14" x14ac:dyDescent="0.25">
      <c r="A69" s="2">
        <v>44347</v>
      </c>
      <c r="B69" s="3" cm="1">
        <f t="array" aca="1" ref="B69" ca="1">_xll.YCP("^SPX", "total_monthly_return",A69)</f>
        <v>6.9839999999999998E-3</v>
      </c>
      <c r="C69" s="3" cm="1">
        <f t="array" aca="1" ref="C69" ca="1">_xll.YCP("^BBUSATR", "total_monthly_return",A69)</f>
        <v>3.2669999999999999E-3</v>
      </c>
      <c r="D69" s="3" cm="1">
        <f t="array" aca="1" ref="D69" ca="1">_xll.YCP("^BBUSCOHYTR", "total_monthly_return",A69)</f>
        <v>2.9580000000000001E-3</v>
      </c>
      <c r="E69">
        <v>1.34E-2</v>
      </c>
      <c r="F69" s="3" cm="1">
        <f t="array" aca="1" ref="F69" ca="1">_xll.YCP("^BBGATR", "total_monthly_return",A69)</f>
        <v>9.3919999999999993E-3</v>
      </c>
      <c r="G69" s="3" cm="1">
        <f t="array" aca="1" ref="G69" ca="1">_xll.YCP("^MSACWI", "total_monthly_return",A69)</f>
        <v>1.61E-2</v>
      </c>
      <c r="H69" s="4">
        <f t="shared" ca="1" si="7"/>
        <v>1.1068999999999999E-2</v>
      </c>
      <c r="I69">
        <f t="shared" ca="1" si="8"/>
        <v>1.2326750000000001E-2</v>
      </c>
      <c r="J69">
        <f t="shared" ca="1" si="10"/>
        <v>1430.4770438928638</v>
      </c>
      <c r="K69" s="5">
        <f t="shared" ca="1" si="11"/>
        <v>0.43047704389286379</v>
      </c>
      <c r="L69">
        <f t="shared" ca="1" si="9"/>
        <v>4.7538000000000007E-3</v>
      </c>
      <c r="M69">
        <f t="shared" ca="1" si="12"/>
        <v>1628.1144777685015</v>
      </c>
      <c r="N69" s="5">
        <f t="shared" ca="1" si="13"/>
        <v>0.62811447776850149</v>
      </c>
    </row>
    <row r="70" spans="1:14" x14ac:dyDescent="0.25">
      <c r="A70" s="2">
        <v>44377</v>
      </c>
      <c r="B70" s="3" cm="1">
        <f t="array" aca="1" ref="B70" ca="1">_xll.YCP("^SPX", "total_monthly_return",A70)</f>
        <v>2.3345000000000001E-2</v>
      </c>
      <c r="C70" s="3" cm="1">
        <f t="array" aca="1" ref="C70" ca="1">_xll.YCP("^BBUSATR", "total_monthly_return",A70)</f>
        <v>7.0260000000000001E-3</v>
      </c>
      <c r="D70" s="3" cm="1">
        <f t="array" aca="1" ref="D70" ca="1">_xll.YCP("^BBUSCOHYTR", "total_monthly_return",A70)</f>
        <v>1.3396E-2</v>
      </c>
      <c r="E70">
        <v>5.4000000000000003E-3</v>
      </c>
      <c r="F70" s="3" cm="1">
        <f t="array" aca="1" ref="F70" ca="1">_xll.YCP("^BBGATR", "total_monthly_return",A70)</f>
        <v>-8.822E-3</v>
      </c>
      <c r="G70" s="3" cm="1">
        <f t="array" aca="1" ref="G70" ca="1">_xll.YCP("^MSACWI", "total_monthly_return",A70)</f>
        <v>1.3509E-2</v>
      </c>
      <c r="H70" s="4">
        <f t="shared" ca="1" si="7"/>
        <v>-3.2392499999999999E-3</v>
      </c>
      <c r="I70">
        <f t="shared" ca="1" si="8"/>
        <v>9.4781249999999987E-4</v>
      </c>
      <c r="J70">
        <f t="shared" ca="1" si="10"/>
        <v>1431.8328679160284</v>
      </c>
      <c r="K70" s="5">
        <f t="shared" ca="1" si="11"/>
        <v>0.43183286791602837</v>
      </c>
      <c r="L70">
        <f t="shared" ca="1" si="9"/>
        <v>1.3553600000000001E-2</v>
      </c>
      <c r="M70">
        <f t="shared" ca="1" si="12"/>
        <v>1650.1812901543847</v>
      </c>
      <c r="N70" s="5">
        <f t="shared" ca="1" si="13"/>
        <v>0.65018129015438464</v>
      </c>
    </row>
    <row r="71" spans="1:14" x14ac:dyDescent="0.25">
      <c r="A71" s="2">
        <v>44408</v>
      </c>
      <c r="B71" s="3" cm="1">
        <f t="array" aca="1" ref="B71" ca="1">_xll.YCP("^SPX", "total_monthly_return",A71)</f>
        <v>2.3754999999999998E-2</v>
      </c>
      <c r="C71" s="3" cm="1">
        <f t="array" aca="1" ref="C71" ca="1">_xll.YCP("^BBUSATR", "total_monthly_return",A71)</f>
        <v>1.1181E-2</v>
      </c>
      <c r="D71" s="3" cm="1">
        <f t="array" aca="1" ref="D71" ca="1">_xll.YCP("^BBUSCOHYTR", "total_monthly_return",A71)</f>
        <v>3.8089999999999999E-3</v>
      </c>
      <c r="E71">
        <v>-9.1000000000000004E-3</v>
      </c>
      <c r="F71" s="3" cm="1">
        <f t="array" aca="1" ref="F71" ca="1">_xll.YCP("^BBGATR", "total_monthly_return",A71)</f>
        <v>1.3310000000000001E-2</v>
      </c>
      <c r="G71" s="3" cm="1">
        <f t="array" aca="1" ref="G71" ca="1">_xll.YCP("^MSACWI", "total_monthly_return",A71)</f>
        <v>7.1780000000000004E-3</v>
      </c>
      <c r="H71" s="4">
        <f t="shared" ca="1" si="7"/>
        <v>1.1776999999999999E-2</v>
      </c>
      <c r="I71">
        <f t="shared" ca="1" si="8"/>
        <v>1.0627250000000001E-2</v>
      </c>
      <c r="J71">
        <f t="shared" ca="1" si="10"/>
        <v>1447.049313761589</v>
      </c>
      <c r="K71" s="5">
        <f t="shared" ca="1" si="11"/>
        <v>0.44704931376158902</v>
      </c>
      <c r="L71">
        <f t="shared" ca="1" si="9"/>
        <v>1.6210599999999999E-2</v>
      </c>
      <c r="M71">
        <f t="shared" ca="1" si="12"/>
        <v>1676.9317189765613</v>
      </c>
      <c r="N71" s="5">
        <f t="shared" ca="1" si="13"/>
        <v>0.67693171897656135</v>
      </c>
    </row>
    <row r="72" spans="1:14" x14ac:dyDescent="0.25">
      <c r="A72" s="2">
        <v>44439</v>
      </c>
      <c r="B72" s="3" cm="1">
        <f t="array" aca="1" ref="B72" ca="1">_xll.YCP("^SPX", "total_monthly_return",A72)</f>
        <v>3.0405999999999999E-2</v>
      </c>
      <c r="C72" s="3" cm="1">
        <f t="array" aca="1" ref="C72" ca="1">_xll.YCP("^BBUSATR", "total_monthly_return",A72)</f>
        <v>-1.9040000000000001E-3</v>
      </c>
      <c r="D72" s="3" cm="1">
        <f t="array" aca="1" ref="D72" ca="1">_xll.YCP("^BBUSCOHYTR", "total_monthly_return",A72)</f>
        <v>5.1370000000000001E-3</v>
      </c>
      <c r="E72">
        <v>7.6E-3</v>
      </c>
      <c r="F72" s="3" cm="1">
        <f t="array" aca="1" ref="F72" ca="1">_xll.YCP("^BBGATR", "total_monthly_return",A72)</f>
        <v>-4.1590000000000004E-3</v>
      </c>
      <c r="G72" s="3" cm="1">
        <f t="array" aca="1" ref="G72" ca="1">_xll.YCP("^MSACWI", "total_monthly_return",A72)</f>
        <v>2.5340999999999999E-2</v>
      </c>
      <c r="H72" s="4">
        <f t="shared" ca="1" si="7"/>
        <v>3.2159999999999992E-3</v>
      </c>
      <c r="I72">
        <f t="shared" ca="1" si="8"/>
        <v>8.7472499999999981E-3</v>
      </c>
      <c r="J72">
        <f t="shared" ca="1" si="10"/>
        <v>1459.7070158713902</v>
      </c>
      <c r="K72" s="5">
        <f t="shared" ca="1" si="11"/>
        <v>0.45970701587139023</v>
      </c>
      <c r="L72">
        <f t="shared" ca="1" si="9"/>
        <v>1.102E-2</v>
      </c>
      <c r="M72">
        <f t="shared" ca="1" si="12"/>
        <v>1695.4115065196831</v>
      </c>
      <c r="N72" s="5">
        <f t="shared" ca="1" si="13"/>
        <v>0.6954115065196832</v>
      </c>
    </row>
    <row r="73" spans="1:14" x14ac:dyDescent="0.25">
      <c r="A73" s="2">
        <v>44469</v>
      </c>
      <c r="B73" s="3" cm="1">
        <f t="array" aca="1" ref="B73" ca="1">_xll.YCP("^SPX", "total_monthly_return",A73)</f>
        <v>-4.6510000000000003E-2</v>
      </c>
      <c r="C73" s="3" cm="1">
        <f t="array" aca="1" ref="C73" ca="1">_xll.YCP("^BBUSATR", "total_monthly_return",A73)</f>
        <v>-8.6580000000000008E-3</v>
      </c>
      <c r="D73" s="3" cm="1">
        <f t="array" aca="1" ref="D73" ca="1">_xll.YCP("^BBUSCOHYTR", "total_monthly_return",A73)</f>
        <v>-1.0900000000000001E-4</v>
      </c>
      <c r="E73">
        <v>-2.3999999999999998E-3</v>
      </c>
      <c r="F73" s="3" cm="1">
        <f t="array" aca="1" ref="F73" ca="1">_xll.YCP("^BBGATR", "total_monthly_return",A73)</f>
        <v>-1.7769E-2</v>
      </c>
      <c r="G73" s="3" cm="1">
        <f t="array" aca="1" ref="G73" ca="1">_xll.YCP("^MSACWI", "total_monthly_return",A73)</f>
        <v>-4.0881000000000001E-2</v>
      </c>
      <c r="H73" s="4">
        <f t="shared" ca="1" si="7"/>
        <v>-2.3546999999999998E-2</v>
      </c>
      <c r="I73">
        <f t="shared" ca="1" si="8"/>
        <v>-2.7880499999999999E-2</v>
      </c>
      <c r="J73">
        <f t="shared" ca="1" si="10"/>
        <v>1419.009654415388</v>
      </c>
      <c r="K73" s="5">
        <f t="shared" ca="1" si="11"/>
        <v>0.41900965441538801</v>
      </c>
      <c r="L73">
        <f t="shared" ca="1" si="9"/>
        <v>-2.3798800000000002E-2</v>
      </c>
      <c r="M73">
        <f t="shared" ca="1" si="12"/>
        <v>1655.0627471583225</v>
      </c>
      <c r="N73" s="5">
        <f t="shared" ca="1" si="13"/>
        <v>0.65506274715832247</v>
      </c>
    </row>
    <row r="74" spans="1:14" x14ac:dyDescent="0.25">
      <c r="A74" s="2">
        <v>44500</v>
      </c>
      <c r="B74" s="3" cm="1">
        <f t="array" aca="1" ref="B74" ca="1">_xll.YCP("^SPX", "total_monthly_return",A74)</f>
        <v>7.0061999999999999E-2</v>
      </c>
      <c r="C74" s="3" cm="1">
        <f t="array" aca="1" ref="C74" ca="1">_xll.YCP("^BBUSATR", "total_monthly_return",A74)</f>
        <v>-2.7599999999999999E-4</v>
      </c>
      <c r="D74" s="3" cm="1">
        <f t="array" aca="1" ref="D74" ca="1">_xll.YCP("^BBUSCOHYTR", "total_monthly_return",A74)</f>
        <v>-1.712E-3</v>
      </c>
      <c r="E74">
        <v>1.32E-2</v>
      </c>
      <c r="F74" s="3" cm="1">
        <f t="array" aca="1" ref="F74" ca="1">_xll.YCP("^BBGATR", "total_monthly_return",A74)</f>
        <v>-2.4169999999999999E-3</v>
      </c>
      <c r="G74" s="3" cm="1">
        <f t="array" aca="1" ref="G74" ca="1">_xll.YCP("^MSACWI", "total_monthly_return",A74)</f>
        <v>5.1299999999999998E-2</v>
      </c>
      <c r="H74" s="4">
        <f t="shared" ca="1" si="7"/>
        <v>1.1012249999999999E-2</v>
      </c>
      <c r="I74">
        <f t="shared" ca="1" si="8"/>
        <v>2.1084187499999997E-2</v>
      </c>
      <c r="J74">
        <f t="shared" ca="1" si="10"/>
        <v>1448.9283200333923</v>
      </c>
      <c r="K74" s="5">
        <f t="shared" ca="1" si="11"/>
        <v>0.44892832003339234</v>
      </c>
      <c r="L74">
        <f t="shared" ca="1" si="9"/>
        <v>2.7859200000000004E-2</v>
      </c>
      <c r="M74">
        <f t="shared" ca="1" si="12"/>
        <v>1701.1714712439557</v>
      </c>
      <c r="N74" s="5">
        <f t="shared" ca="1" si="13"/>
        <v>0.70117147124395574</v>
      </c>
    </row>
    <row r="75" spans="1:14" x14ac:dyDescent="0.25">
      <c r="A75" s="2">
        <v>44530</v>
      </c>
      <c r="B75" s="3" cm="1">
        <f t="array" aca="1" ref="B75" ca="1">_xll.YCP("^SPX", "total_monthly_return",A75)</f>
        <v>-6.9290000000000003E-3</v>
      </c>
      <c r="C75" s="3" cm="1">
        <f t="array" aca="1" ref="C75" ca="1">_xll.YCP("^BBUSATR", "total_monthly_return",A75)</f>
        <v>2.9589999999999998E-3</v>
      </c>
      <c r="D75" s="3" cm="1">
        <f t="array" aca="1" ref="D75" ca="1">_xll.YCP("^BBUSCOHYTR", "total_monthly_return",A75)</f>
        <v>-9.7249999999999993E-3</v>
      </c>
      <c r="E75">
        <v>-0.02</v>
      </c>
      <c r="F75" s="3" cm="1">
        <f t="array" aca="1" ref="F75" ca="1">_xll.YCP("^BBGATR", "total_monthly_return",A75)</f>
        <v>-2.9250000000000001E-3</v>
      </c>
      <c r="G75" s="3" cm="1">
        <f t="array" aca="1" ref="G75" ca="1">_xll.YCP("^MSACWI", "total_monthly_return",A75)</f>
        <v>-2.3775999999999999E-2</v>
      </c>
      <c r="H75" s="4">
        <f t="shared" ca="1" si="7"/>
        <v>-8.1377499999999992E-3</v>
      </c>
      <c r="I75">
        <f t="shared" ca="1" si="8"/>
        <v>-1.2047312499999999E-2</v>
      </c>
      <c r="J75">
        <f t="shared" ca="1" si="10"/>
        <v>1431.4726277718501</v>
      </c>
      <c r="K75" s="5">
        <f t="shared" ca="1" si="11"/>
        <v>0.43147262777185008</v>
      </c>
      <c r="L75">
        <f t="shared" ca="1" si="9"/>
        <v>-9.9620000000000047E-4</v>
      </c>
      <c r="M75">
        <f t="shared" ca="1" si="12"/>
        <v>1699.4767642243025</v>
      </c>
      <c r="N75" s="5">
        <f t="shared" ca="1" si="13"/>
        <v>0.69947676422430249</v>
      </c>
    </row>
    <row r="76" spans="1:14" x14ac:dyDescent="0.25">
      <c r="A76" s="2">
        <v>44561</v>
      </c>
      <c r="B76" s="3" cm="1">
        <f t="array" aca="1" ref="B76" ca="1">_xll.YCP("^SPX", "total_monthly_return",A76)</f>
        <v>4.4816000000000002E-2</v>
      </c>
      <c r="C76" s="3" cm="1">
        <f t="array" aca="1" ref="C76" ca="1">_xll.YCP("^BBUSATR", "total_monthly_return",A76)</f>
        <v>-2.5590000000000001E-3</v>
      </c>
      <c r="D76" s="3" cm="1">
        <f t="array" aca="1" ref="D76" ca="1">_xll.YCP("^BBUSCOHYTR", "total_monthly_return",A76)</f>
        <v>1.8744E-2</v>
      </c>
      <c r="E76">
        <v>1.15E-2</v>
      </c>
      <c r="F76" s="3" cm="1">
        <f t="array" aca="1" ref="F76" ca="1">_xll.YCP("^BBGATR", "total_monthly_return",A76)</f>
        <v>-1.3960000000000001E-3</v>
      </c>
      <c r="G76" s="3" cm="1">
        <f t="array" aca="1" ref="G76" ca="1">_xll.YCP("^MSACWI", "total_monthly_return",A76)</f>
        <v>4.0320000000000002E-2</v>
      </c>
      <c r="H76" s="4">
        <f t="shared" ca="1" si="7"/>
        <v>9.0329999999999994E-3</v>
      </c>
      <c r="I76">
        <f t="shared" ca="1" si="8"/>
        <v>1.6854750000000002E-2</v>
      </c>
      <c r="J76">
        <f t="shared" ca="1" si="10"/>
        <v>1455.5997410447876</v>
      </c>
      <c r="K76" s="5">
        <f t="shared" ca="1" si="11"/>
        <v>0.45559974104478762</v>
      </c>
      <c r="L76">
        <f t="shared" ca="1" si="9"/>
        <v>1.6391000000000003E-2</v>
      </c>
      <c r="M76">
        <f t="shared" ca="1" si="12"/>
        <v>1727.3328878667032</v>
      </c>
      <c r="N76" s="5">
        <f t="shared" ca="1" si="13"/>
        <v>0.72733288786670325</v>
      </c>
    </row>
    <row r="77" spans="1:14" x14ac:dyDescent="0.25">
      <c r="A77" s="2">
        <v>44592</v>
      </c>
      <c r="B77" s="3" cm="1">
        <f t="array" aca="1" ref="B77" ca="1">_xll.YCP("^SPX", "total_monthly_return",A77)</f>
        <v>-5.1747000000000001E-2</v>
      </c>
      <c r="C77" s="3" cm="1">
        <f t="array" aca="1" ref="C77" ca="1">_xll.YCP("^BBUSATR", "total_monthly_return",A77)</f>
        <v>-2.1544000000000001E-2</v>
      </c>
      <c r="D77" s="3" cm="1">
        <f t="array" aca="1" ref="D77" ca="1">_xll.YCP("^BBUSCOHYTR", "total_monthly_return",A77)</f>
        <v>-2.7342999999999999E-2</v>
      </c>
      <c r="E77">
        <v>-2.0500000000000001E-2</v>
      </c>
      <c r="F77" s="3" cm="1">
        <f t="array" aca="1" ref="F77" ca="1">_xll.YCP("^BBGATR", "total_monthly_return",A77)</f>
        <v>-2.0493999999999998E-2</v>
      </c>
      <c r="G77" s="3" cm="1">
        <f t="array" aca="1" ref="G77" ca="1">_xll.YCP("^MSACWI", "total_monthly_return",A77)</f>
        <v>-4.8925999999999997E-2</v>
      </c>
      <c r="H77" s="4">
        <f t="shared" ca="1" si="7"/>
        <v>-2.7601999999999998E-2</v>
      </c>
      <c r="I77">
        <f t="shared" ca="1" si="8"/>
        <v>-3.2932999999999997E-2</v>
      </c>
      <c r="J77">
        <f t="shared" ca="1" si="10"/>
        <v>1407.6624747729597</v>
      </c>
      <c r="K77" s="5">
        <f t="shared" ca="1" si="11"/>
        <v>0.40766247477295975</v>
      </c>
      <c r="L77">
        <f t="shared" ca="1" si="9"/>
        <v>-3.3625200000000001E-2</v>
      </c>
      <c r="M77">
        <f t="shared" ca="1" si="12"/>
        <v>1669.2509740456078</v>
      </c>
      <c r="N77" s="5">
        <f t="shared" ca="1" si="13"/>
        <v>0.66925097404560774</v>
      </c>
    </row>
    <row r="78" spans="1:14" x14ac:dyDescent="0.25">
      <c r="A78" s="2">
        <v>44620</v>
      </c>
      <c r="B78" s="3" cm="1">
        <f t="array" aca="1" ref="B78" ca="1">_xll.YCP("^SPX", "total_monthly_return",A78)</f>
        <v>-2.9940999999999999E-2</v>
      </c>
      <c r="C78" s="3" cm="1">
        <f t="array" aca="1" ref="C78" ca="1">_xll.YCP("^BBUSATR", "total_monthly_return",A78)</f>
        <v>-1.1155999999999999E-2</v>
      </c>
      <c r="D78" s="3" cm="1">
        <f t="array" aca="1" ref="D78" ca="1">_xll.YCP("^BBUSCOHYTR", "total_monthly_return",A78)</f>
        <v>-1.0267E-2</v>
      </c>
      <c r="E78">
        <v>-1.2999999999999999E-3</v>
      </c>
      <c r="F78" s="3" cm="1">
        <f t="array" aca="1" ref="F78" ca="1">_xll.YCP("^BBGATR", "total_monthly_return",A78)</f>
        <v>-1.1886000000000001E-2</v>
      </c>
      <c r="G78" s="3" cm="1">
        <f t="array" aca="1" ref="G78" ca="1">_xll.YCP("^MSACWI", "total_monthly_return",A78)</f>
        <v>-2.5527999999999999E-2</v>
      </c>
      <c r="H78" s="4">
        <f t="shared" ca="1" si="7"/>
        <v>-1.5296500000000001E-2</v>
      </c>
      <c r="I78">
        <f t="shared" ca="1" si="8"/>
        <v>-1.7854374999999999E-2</v>
      </c>
      <c r="J78">
        <f t="shared" ca="1" si="10"/>
        <v>1382.5295410749352</v>
      </c>
      <c r="K78" s="5">
        <f t="shared" ca="1" si="11"/>
        <v>0.3825295410749352</v>
      </c>
      <c r="L78">
        <f t="shared" ca="1" si="9"/>
        <v>-1.8669999999999999E-2</v>
      </c>
      <c r="M78">
        <f t="shared" ca="1" si="12"/>
        <v>1638.0860583601764</v>
      </c>
      <c r="N78" s="5">
        <f t="shared" ca="1" si="13"/>
        <v>0.6380860583601764</v>
      </c>
    </row>
    <row r="79" spans="1:14" x14ac:dyDescent="0.25">
      <c r="A79" s="2">
        <v>44651</v>
      </c>
      <c r="B79" s="3" cm="1">
        <f t="array" aca="1" ref="B79" ca="1">_xll.YCP("^SPX", "total_monthly_return",A79)</f>
        <v>3.7130000000000003E-2</v>
      </c>
      <c r="C79" s="3" cm="1">
        <f t="array" aca="1" ref="C79" ca="1">_xll.YCP("^BBUSATR", "total_monthly_return",A79)</f>
        <v>-2.7782000000000001E-2</v>
      </c>
      <c r="D79" s="3" cm="1">
        <f t="array" aca="1" ref="D79" ca="1">_xll.YCP("^BBUSCOHYTR", "total_monthly_return",A79)</f>
        <v>-1.1464E-2</v>
      </c>
      <c r="E79">
        <v>1.23E-2</v>
      </c>
      <c r="F79" s="3" cm="1">
        <f t="array" aca="1" ref="F79" ca="1">_xll.YCP("^BBGATR", "total_monthly_return",A79)</f>
        <v>-3.0453000000000001E-2</v>
      </c>
      <c r="G79" s="3" cm="1">
        <f t="array" aca="1" ref="G79" ca="1">_xll.YCP("^MSACWI", "total_monthly_return",A79)</f>
        <v>2.2249000000000001E-2</v>
      </c>
      <c r="H79" s="4">
        <f t="shared" ca="1" si="7"/>
        <v>-1.7277499999999998E-2</v>
      </c>
      <c r="I79">
        <f t="shared" ca="1" si="8"/>
        <v>-7.3958749999999971E-3</v>
      </c>
      <c r="J79">
        <f t="shared" ca="1" si="10"/>
        <v>1372.3045254053375</v>
      </c>
      <c r="K79" s="5">
        <f t="shared" ca="1" si="11"/>
        <v>0.37230452540533748</v>
      </c>
      <c r="L79">
        <f t="shared" ca="1" si="9"/>
        <v>-1.8171999999999962E-3</v>
      </c>
      <c r="M79">
        <f t="shared" ca="1" si="12"/>
        <v>1635.1093283749244</v>
      </c>
      <c r="N79" s="5">
        <f t="shared" ca="1" si="13"/>
        <v>0.6351093283749244</v>
      </c>
    </row>
    <row r="80" spans="1:14" x14ac:dyDescent="0.25">
      <c r="A80" s="2">
        <v>44681</v>
      </c>
      <c r="B80" s="3" cm="1">
        <f t="array" aca="1" ref="B80" ca="1">_xll.YCP("^SPX", "total_monthly_return",A80)</f>
        <v>-8.7202000000000002E-2</v>
      </c>
      <c r="C80" s="3" cm="1">
        <f t="array" aca="1" ref="C80" ca="1">_xll.YCP("^BBUSATR", "total_monthly_return",A80)</f>
        <v>-3.7948000000000003E-2</v>
      </c>
      <c r="D80" s="3" cm="1">
        <f t="array" aca="1" ref="D80" ca="1">_xll.YCP("^BBUSCOHYTR", "total_monthly_return",A80)</f>
        <v>-3.5559E-2</v>
      </c>
      <c r="E80">
        <v>-1.38E-2</v>
      </c>
      <c r="F80" s="3" cm="1">
        <f t="array" aca="1" ref="F80" ca="1">_xll.YCP("^BBGATR", "total_monthly_return",A80)</f>
        <v>-5.4788000000000003E-2</v>
      </c>
      <c r="G80" s="3" cm="1">
        <f t="array" aca="1" ref="G80" ca="1">_xll.YCP("^MSACWI", "total_monthly_return",A80)</f>
        <v>-7.9668000000000003E-2</v>
      </c>
      <c r="H80" s="4">
        <f t="shared" ca="1" si="7"/>
        <v>-6.1008000000000007E-2</v>
      </c>
      <c r="I80">
        <f t="shared" ca="1" si="8"/>
        <v>-6.5673000000000009E-2</v>
      </c>
      <c r="J80">
        <f t="shared" ca="1" si="10"/>
        <v>1282.1811703083927</v>
      </c>
      <c r="K80" s="5">
        <f t="shared" ca="1" si="11"/>
        <v>0.28218117030839268</v>
      </c>
      <c r="L80">
        <f t="shared" ca="1" si="9"/>
        <v>-5.7649600000000009E-2</v>
      </c>
      <c r="M80">
        <f t="shared" ca="1" si="12"/>
        <v>1540.8459296378414</v>
      </c>
      <c r="N80" s="5">
        <f t="shared" ca="1" si="13"/>
        <v>0.54084592963784139</v>
      </c>
    </row>
    <row r="81" spans="1:14" x14ac:dyDescent="0.25">
      <c r="A81" s="2">
        <v>44712</v>
      </c>
      <c r="B81" s="3" cm="1">
        <f t="array" aca="1" ref="B81" ca="1">_xll.YCP("^SPX", "total_monthly_return",A81)</f>
        <v>1.835E-3</v>
      </c>
      <c r="C81" s="3" cm="1">
        <f t="array" aca="1" ref="C81" ca="1">_xll.YCP("^BBUSATR", "total_monthly_return",A81)</f>
        <v>6.4479999999999997E-3</v>
      </c>
      <c r="D81" s="3" cm="1">
        <f t="array" aca="1" ref="D81" ca="1">_xll.YCP("^BBUSCOHYTR", "total_monthly_return",A81)</f>
        <v>2.4520000000000002E-3</v>
      </c>
      <c r="E81">
        <v>-5.4000000000000003E-3</v>
      </c>
      <c r="F81" s="3" cm="1">
        <f t="array" aca="1" ref="F81" ca="1">_xll.YCP("^BBGATR", "total_monthly_return",A81)</f>
        <v>2.7299999999999998E-3</v>
      </c>
      <c r="G81" s="3" cm="1">
        <f t="array" aca="1" ref="G81" ca="1">_xll.YCP("^MSACWI", "total_monthly_return",A81)</f>
        <v>1.8810000000000001E-3</v>
      </c>
      <c r="H81" s="4">
        <f t="shared" ca="1" si="7"/>
        <v>2.51775E-3</v>
      </c>
      <c r="I81">
        <f t="shared" ca="1" si="8"/>
        <v>2.3585625E-3</v>
      </c>
      <c r="J81">
        <f t="shared" ca="1" si="10"/>
        <v>1285.2052747348882</v>
      </c>
      <c r="K81" s="5">
        <f t="shared" ca="1" si="11"/>
        <v>0.28520527473488821</v>
      </c>
      <c r="L81">
        <f t="shared" ca="1" si="9"/>
        <v>4.6027999999999998E-3</v>
      </c>
      <c r="M81">
        <f t="shared" ca="1" si="12"/>
        <v>1547.9381352827786</v>
      </c>
      <c r="N81" s="5">
        <f t="shared" ca="1" si="13"/>
        <v>0.54793813528277857</v>
      </c>
    </row>
    <row r="82" spans="1:14" x14ac:dyDescent="0.25">
      <c r="A82" s="2">
        <v>44742</v>
      </c>
      <c r="B82" s="3" cm="1">
        <f t="array" aca="1" ref="B82" ca="1">_xll.YCP("^SPX", "total_monthly_return",A82)</f>
        <v>-8.2544000000000006E-2</v>
      </c>
      <c r="C82" s="3" cm="1">
        <f t="array" aca="1" ref="C82" ca="1">_xll.YCP("^BBUSATR", "total_monthly_return",A82)</f>
        <v>-1.5688000000000001E-2</v>
      </c>
      <c r="D82" s="3" cm="1">
        <f t="array" aca="1" ref="D82" ca="1">_xll.YCP("^BBUSCOHYTR", "total_monthly_return",A82)</f>
        <v>-6.7330000000000001E-2</v>
      </c>
      <c r="E82">
        <v>-2.8500000000000001E-2</v>
      </c>
      <c r="F82" s="3" cm="1">
        <f t="array" aca="1" ref="F82" ca="1">_xll.YCP("^BBGATR", "total_monthly_return",A82)</f>
        <v>-3.2087999999999998E-2</v>
      </c>
      <c r="G82" s="3" cm="1">
        <f t="array" aca="1" ref="G82" ca="1">_xll.YCP("^MSACWI", "total_monthly_return",A82)</f>
        <v>-8.3884E-2</v>
      </c>
      <c r="H82" s="4">
        <f t="shared" ca="1" si="7"/>
        <v>-4.5036999999999994E-2</v>
      </c>
      <c r="I82">
        <f t="shared" ca="1" si="8"/>
        <v>-5.4748749999999999E-2</v>
      </c>
      <c r="J82">
        <f t="shared" ca="1" si="10"/>
        <v>1214.8418924497464</v>
      </c>
      <c r="K82" s="5">
        <f t="shared" ca="1" si="11"/>
        <v>0.21484189244974641</v>
      </c>
      <c r="L82">
        <f t="shared" ca="1" si="9"/>
        <v>-4.24304E-2</v>
      </c>
      <c r="M82">
        <f t="shared" ca="1" si="12"/>
        <v>1482.2585010274763</v>
      </c>
      <c r="N82" s="5">
        <f t="shared" ca="1" si="13"/>
        <v>0.48225850102747631</v>
      </c>
    </row>
    <row r="83" spans="1:14" x14ac:dyDescent="0.25">
      <c r="A83" s="2">
        <v>44773</v>
      </c>
      <c r="B83" s="3" cm="1">
        <f t="array" aca="1" ref="B83" ca="1">_xll.YCP("^SPX", "total_monthly_return",A83)</f>
        <v>9.2203999999999994E-2</v>
      </c>
      <c r="C83" s="3" cm="1">
        <f t="array" aca="1" ref="C83" ca="1">_xll.YCP("^BBUSATR", "total_monthly_return",A83)</f>
        <v>2.4434999999999998E-2</v>
      </c>
      <c r="D83" s="3" cm="1">
        <f t="array" aca="1" ref="D83" ca="1">_xll.YCP("^BBUSCOHYTR", "total_monthly_return",A83)</f>
        <v>5.9034000000000003E-2</v>
      </c>
      <c r="E83">
        <v>1.2699999999999999E-2</v>
      </c>
      <c r="F83" s="3" cm="1">
        <f t="array" aca="1" ref="F83" ca="1">_xll.YCP("^BBGATR", "total_monthly_return",A83)</f>
        <v>2.1259E-2</v>
      </c>
      <c r="G83" s="3" cm="1">
        <f t="array" aca="1" ref="G83" ca="1">_xll.YCP("^MSACWI", "total_monthly_return",A83)</f>
        <v>7.0185999999999998E-2</v>
      </c>
      <c r="H83" s="4">
        <f t="shared" ca="1" si="7"/>
        <v>3.349075E-2</v>
      </c>
      <c r="I83">
        <f t="shared" ca="1" si="8"/>
        <v>4.2664562500000003E-2</v>
      </c>
      <c r="J83">
        <f t="shared" ca="1" si="10"/>
        <v>1266.6725902977869</v>
      </c>
      <c r="K83" s="5">
        <f t="shared" ca="1" si="11"/>
        <v>0.26667259029778689</v>
      </c>
      <c r="L83">
        <f t="shared" ca="1" si="9"/>
        <v>5.1542600000000001E-2</v>
      </c>
      <c r="M83">
        <f t="shared" ca="1" si="12"/>
        <v>1558.6579580425353</v>
      </c>
      <c r="N83" s="5">
        <f t="shared" ca="1" si="13"/>
        <v>0.55865795804253526</v>
      </c>
    </row>
    <row r="84" spans="1:14" x14ac:dyDescent="0.25">
      <c r="A84" s="2">
        <v>44804</v>
      </c>
      <c r="B84" s="3" cm="1">
        <f t="array" aca="1" ref="B84" ca="1">_xll.YCP("^SPX", "total_monthly_return",A84)</f>
        <v>-4.0781999999999999E-2</v>
      </c>
      <c r="C84" s="3" cm="1">
        <f t="array" aca="1" ref="C84" ca="1">_xll.YCP("^BBUSATR", "total_monthly_return",A84)</f>
        <v>-2.8257000000000001E-2</v>
      </c>
      <c r="D84" s="3" cm="1">
        <f t="array" aca="1" ref="D84" ca="1">_xll.YCP("^BBUSCOHYTR", "total_monthly_return",A84)</f>
        <v>-2.3043999999999999E-2</v>
      </c>
      <c r="E84">
        <v>4.4999999999999997E-3</v>
      </c>
      <c r="F84" s="3" cm="1">
        <f t="array" aca="1" ref="F84" ca="1">_xll.YCP("^BBGATR", "total_monthly_return",A84)</f>
        <v>-3.9461000000000003E-2</v>
      </c>
      <c r="G84" s="3" cm="1">
        <f t="array" aca="1" ref="G84" ca="1">_xll.YCP("^MSACWI", "total_monthly_return",A84)</f>
        <v>-3.6424999999999999E-2</v>
      </c>
      <c r="H84" s="4">
        <f t="shared" ca="1" si="7"/>
        <v>-3.8702E-2</v>
      </c>
      <c r="I84">
        <f t="shared" ca="1" si="8"/>
        <v>-3.813275E-2</v>
      </c>
      <c r="J84">
        <f t="shared" ca="1" si="10"/>
        <v>1218.3708810801088</v>
      </c>
      <c r="K84" s="5">
        <f t="shared" ca="1" si="11"/>
        <v>0.2183708810801088</v>
      </c>
      <c r="L84">
        <f t="shared" ca="1" si="9"/>
        <v>-3.3266999999999998E-2</v>
      </c>
      <c r="M84">
        <f t="shared" ca="1" si="12"/>
        <v>1506.8060837523342</v>
      </c>
      <c r="N84" s="5">
        <f t="shared" ca="1" si="13"/>
        <v>0.50680608375233416</v>
      </c>
    </row>
    <row r="85" spans="1:14" x14ac:dyDescent="0.25">
      <c r="A85" s="2">
        <v>44834</v>
      </c>
      <c r="B85" s="3" cm="1">
        <f t="array" aca="1" ref="B85" ca="1">_xll.YCP("^SPX", "total_monthly_return",A85)</f>
        <v>-9.2099E-2</v>
      </c>
      <c r="C85" s="3" cm="1">
        <f t="array" aca="1" ref="C85" ca="1">_xll.YCP("^BBUSATR", "total_monthly_return",A85)</f>
        <v>-4.3206000000000001E-2</v>
      </c>
      <c r="D85" s="3" cm="1">
        <f t="array" aca="1" ref="D85" ca="1">_xll.YCP("^BBUSCOHYTR", "total_monthly_return",A85)</f>
        <v>-3.9718999999999997E-2</v>
      </c>
      <c r="E85">
        <v>-2.41E-2</v>
      </c>
      <c r="F85" s="3" cm="1">
        <f t="array" aca="1" ref="F85" ca="1">_xll.YCP("^BBGATR", "total_monthly_return",A85)</f>
        <v>-5.1380000000000002E-2</v>
      </c>
      <c r="G85" s="3" cm="1">
        <f t="array" aca="1" ref="G85" ca="1">_xll.YCP("^MSACWI", "total_monthly_return",A85)</f>
        <v>-9.5310000000000006E-2</v>
      </c>
      <c r="H85" s="4">
        <f t="shared" ca="1" si="7"/>
        <v>-6.2362500000000001E-2</v>
      </c>
      <c r="I85">
        <f t="shared" ca="1" si="8"/>
        <v>-7.0599375000000006E-2</v>
      </c>
      <c r="J85">
        <f t="shared" ca="1" si="10"/>
        <v>1132.3546583576538</v>
      </c>
      <c r="K85" s="5">
        <f t="shared" ca="1" si="11"/>
        <v>0.13235465835765375</v>
      </c>
      <c r="L85">
        <f t="shared" ca="1" si="9"/>
        <v>-6.2763200000000005E-2</v>
      </c>
      <c r="M85">
        <f t="shared" ca="1" si="12"/>
        <v>1412.2341121565696</v>
      </c>
      <c r="N85" s="5">
        <f t="shared" ca="1" si="13"/>
        <v>0.41223411215656963</v>
      </c>
    </row>
    <row r="86" spans="1:14" x14ac:dyDescent="0.25">
      <c r="A86" s="2">
        <v>44865</v>
      </c>
      <c r="B86" s="3" cm="1">
        <f t="array" aca="1" ref="B86" ca="1">_xll.YCP("^SPX", "total_monthly_return",A86)</f>
        <v>8.0961000000000005E-2</v>
      </c>
      <c r="C86" s="3" cm="1">
        <f t="array" aca="1" ref="C86" ca="1">_xll.YCP("^BBUSATR", "total_monthly_return",A86)</f>
        <v>-1.2952E-2</v>
      </c>
      <c r="D86" s="3" cm="1">
        <f t="array" aca="1" ref="D86" ca="1">_xll.YCP("^BBUSCOHYTR", "total_monthly_return",A86)</f>
        <v>2.5988000000000001E-2</v>
      </c>
      <c r="E86">
        <v>1.3899999999999999E-2</v>
      </c>
      <c r="F86" s="3" cm="1">
        <f t="array" aca="1" ref="F86" ca="1">_xll.YCP("^BBGATR", "total_monthly_return",A86)</f>
        <v>-6.8770000000000003E-3</v>
      </c>
      <c r="G86" s="3" cm="1">
        <f t="array" aca="1" ref="G86" ca="1">_xll.YCP("^MSACWI", "total_monthly_return",A86)</f>
        <v>6.0602999999999997E-2</v>
      </c>
      <c r="H86" s="4">
        <f t="shared" ca="1" si="7"/>
        <v>9.9929999999999984E-3</v>
      </c>
      <c r="I86">
        <f t="shared" ca="1" si="8"/>
        <v>2.2645499999999999E-2</v>
      </c>
      <c r="J86">
        <f t="shared" ca="1" si="10"/>
        <v>1157.9973957734921</v>
      </c>
      <c r="K86" s="5">
        <f t="shared" ca="1" si="11"/>
        <v>0.15799739577349214</v>
      </c>
      <c r="L86">
        <f t="shared" ca="1" si="9"/>
        <v>2.4613200000000002E-2</v>
      </c>
      <c r="M86">
        <f t="shared" ca="1" si="12"/>
        <v>1446.9937128059019</v>
      </c>
      <c r="N86" s="5">
        <f t="shared" ca="1" si="13"/>
        <v>0.44699371280590183</v>
      </c>
    </row>
    <row r="87" spans="1:14" x14ac:dyDescent="0.25">
      <c r="A87" s="2">
        <v>44895</v>
      </c>
      <c r="B87" s="3" cm="1">
        <f t="array" aca="1" ref="B87" ca="1">_xll.YCP("^SPX", "total_monthly_return",A87)</f>
        <v>5.5884000000000003E-2</v>
      </c>
      <c r="C87" s="3" cm="1">
        <f t="array" aca="1" ref="C87" ca="1">_xll.YCP("^BBUSATR", "total_monthly_return",A87)</f>
        <v>3.6776000000000003E-2</v>
      </c>
      <c r="D87" s="3" cm="1">
        <f t="array" aca="1" ref="D87" ca="1">_xll.YCP("^BBUSCOHYTR", "total_monthly_return",A87)</f>
        <v>2.1704999999999999E-2</v>
      </c>
      <c r="E87">
        <v>1.21E-2</v>
      </c>
      <c r="F87" s="3" cm="1">
        <f t="array" aca="1" ref="F87" ca="1">_xll.YCP("^BBGATR", "total_monthly_return",A87)</f>
        <v>4.7060999999999999E-2</v>
      </c>
      <c r="G87" s="3" cm="1">
        <f t="array" aca="1" ref="G87" ca="1">_xll.YCP("^MSACWI", "total_monthly_return",A87)</f>
        <v>7.8021999999999994E-2</v>
      </c>
      <c r="H87" s="4">
        <f t="shared" ca="1" si="7"/>
        <v>5.4801249999999996E-2</v>
      </c>
      <c r="I87">
        <f t="shared" ca="1" si="8"/>
        <v>6.0606437499999999E-2</v>
      </c>
      <c r="J87">
        <f t="shared" ca="1" si="10"/>
        <v>1228.1794925656011</v>
      </c>
      <c r="K87" s="5">
        <f t="shared" ca="1" si="11"/>
        <v>0.22817949256560111</v>
      </c>
      <c r="L87">
        <f t="shared" ca="1" si="9"/>
        <v>4.4419200000000006E-2</v>
      </c>
      <c r="M87">
        <f t="shared" ca="1" si="12"/>
        <v>1511.2680159337699</v>
      </c>
      <c r="N87" s="5">
        <f t="shared" ca="1" si="13"/>
        <v>0.51126801593376991</v>
      </c>
    </row>
    <row r="88" spans="1:14" x14ac:dyDescent="0.25">
      <c r="A88" s="2">
        <v>44926</v>
      </c>
      <c r="B88" s="3" cm="1">
        <f t="array" aca="1" ref="B88" ca="1">_xll.YCP("^SPX", "total_monthly_return",A88)</f>
        <v>-5.7613999999999999E-2</v>
      </c>
      <c r="C88" s="3" cm="1">
        <f t="array" aca="1" ref="C88" ca="1">_xll.YCP("^BBUSATR", "total_monthly_return",A88)</f>
        <v>-4.5110000000000003E-3</v>
      </c>
      <c r="D88" s="3" cm="1">
        <f t="array" aca="1" ref="D88" ca="1">_xll.YCP("^BBUSCOHYTR", "total_monthly_return",A88)</f>
        <v>-6.241E-3</v>
      </c>
      <c r="E88">
        <v>-2.8999999999999998E-3</v>
      </c>
      <c r="F88" s="3" cm="1">
        <f t="array" aca="1" ref="F88" ca="1">_xll.YCP("^BBGATR", "total_monthly_return",A88)</f>
        <v>5.4079999999999996E-3</v>
      </c>
      <c r="G88" s="3" cm="1">
        <f t="array" aca="1" ref="G88" ca="1">_xll.YCP("^MSACWI", "total_monthly_return",A88)</f>
        <v>-3.8953000000000002E-2</v>
      </c>
      <c r="H88" s="4">
        <f t="shared" ca="1" si="7"/>
        <v>-5.6822500000000007E-3</v>
      </c>
      <c r="I88">
        <f t="shared" ca="1" si="8"/>
        <v>-1.39999375E-2</v>
      </c>
      <c r="J88">
        <f t="shared" ca="1" si="10"/>
        <v>1210.9850564309011</v>
      </c>
      <c r="K88" s="5">
        <f t="shared" ca="1" si="11"/>
        <v>0.21098505643090107</v>
      </c>
      <c r="L88">
        <f t="shared" ca="1" si="9"/>
        <v>-2.5752199999999999E-2</v>
      </c>
      <c r="M88">
        <f t="shared" ca="1" si="12"/>
        <v>1472.3495397338402</v>
      </c>
      <c r="N88" s="5">
        <f t="shared" ca="1" si="13"/>
        <v>0.4723495397338402</v>
      </c>
    </row>
    <row r="89" spans="1:14" x14ac:dyDescent="0.25">
      <c r="A89" s="2">
        <v>44957</v>
      </c>
      <c r="B89" s="3" cm="1">
        <f t="array" aca="1" ref="B89" ca="1">_xll.YCP("^SPX", "total_monthly_return",A89)</f>
        <v>6.2834000000000001E-2</v>
      </c>
      <c r="C89" s="3" cm="1">
        <f t="array" aca="1" ref="C89" ca="1">_xll.YCP("^BBUSATR", "total_monthly_return",A89)</f>
        <v>3.0764E-2</v>
      </c>
      <c r="D89" s="3" cm="1">
        <f t="array" aca="1" ref="D89" ca="1">_xll.YCP("^BBUSCOHYTR", "total_monthly_return",A89)</f>
        <v>3.8072000000000002E-2</v>
      </c>
      <c r="E89">
        <v>2.6599999999999999E-2</v>
      </c>
      <c r="F89" s="3" cm="1">
        <f t="array" aca="1" ref="F89" ca="1">_xll.YCP("^BBGATR", "total_monthly_return",A89)</f>
        <v>3.2828999999999997E-2</v>
      </c>
      <c r="G89" s="3" cm="1">
        <f t="array" aca="1" ref="G89" ca="1">_xll.YCP("^MSACWI", "total_monthly_return",A89)</f>
        <v>7.1928000000000006E-2</v>
      </c>
      <c r="H89" s="4">
        <f t="shared" ca="1" si="7"/>
        <v>4.2603749999999996E-2</v>
      </c>
      <c r="I89">
        <f t="shared" ca="1" si="8"/>
        <v>4.9934812499999995E-2</v>
      </c>
      <c r="J89">
        <f t="shared" ca="1" si="10"/>
        <v>1271.4553681640803</v>
      </c>
      <c r="K89" s="5">
        <f t="shared" ca="1" si="11"/>
        <v>0.27145536816408028</v>
      </c>
      <c r="L89">
        <f t="shared" ca="1" si="9"/>
        <v>4.3592000000000006E-2</v>
      </c>
      <c r="M89">
        <f t="shared" ca="1" si="12"/>
        <v>1536.5322008699179</v>
      </c>
      <c r="N89" s="5">
        <f t="shared" ca="1" si="13"/>
        <v>0.53653220086991793</v>
      </c>
    </row>
    <row r="90" spans="1:14" x14ac:dyDescent="0.25">
      <c r="A90" s="2">
        <v>44985</v>
      </c>
      <c r="B90" s="3" cm="1">
        <f t="array" aca="1" ref="B90" ca="1">_xll.YCP("^SPX", "total_monthly_return",A90)</f>
        <v>-2.4399000000000001E-2</v>
      </c>
      <c r="C90" s="3" cm="1">
        <f t="array" aca="1" ref="C90" ca="1">_xll.YCP("^BBUSATR", "total_monthly_return",A90)</f>
        <v>-2.5855E-2</v>
      </c>
      <c r="D90" s="3" cm="1">
        <f t="array" aca="1" ref="D90" ca="1">_xll.YCP("^BBUSCOHYTR", "total_monthly_return",A90)</f>
        <v>-1.2855E-2</v>
      </c>
      <c r="E90">
        <v>-6.4000000000000003E-3</v>
      </c>
      <c r="F90" s="3" cm="1">
        <f t="array" aca="1" ref="F90" ca="1">_xll.YCP("^BBGATR", "total_monthly_return",A90)</f>
        <v>-3.3244000000000003E-2</v>
      </c>
      <c r="G90" s="3" cm="1">
        <f t="array" aca="1" ref="G90" ca="1">_xll.YCP("^MSACWI", "total_monthly_return",A90)</f>
        <v>-2.8309000000000001E-2</v>
      </c>
      <c r="H90" s="4">
        <f t="shared" ca="1" si="7"/>
        <v>-3.2010250000000004E-2</v>
      </c>
      <c r="I90">
        <f t="shared" ca="1" si="8"/>
        <v>-3.1084937500000003E-2</v>
      </c>
      <c r="J90">
        <f t="shared" ca="1" si="10"/>
        <v>1231.9322575106603</v>
      </c>
      <c r="K90" s="5">
        <f t="shared" ca="1" si="11"/>
        <v>0.23193225751066029</v>
      </c>
      <c r="L90">
        <f t="shared" ca="1" si="9"/>
        <v>-2.5272599999999999E-2</v>
      </c>
      <c r="M90">
        <f t="shared" ca="1" si="12"/>
        <v>1497.7000371702129</v>
      </c>
      <c r="N90" s="5">
        <f t="shared" ca="1" si="13"/>
        <v>0.49770003717021288</v>
      </c>
    </row>
    <row r="91" spans="1:14" x14ac:dyDescent="0.25">
      <c r="A91" s="2">
        <v>45016</v>
      </c>
      <c r="B91" s="3" cm="1">
        <f t="array" aca="1" ref="B91" ca="1">_xll.YCP("^SPX", "total_monthly_return",A91)</f>
        <v>3.6713999999999997E-2</v>
      </c>
      <c r="C91" s="3" cm="1">
        <f t="array" aca="1" ref="C91" ca="1">_xll.YCP("^BBUSATR", "total_monthly_return",A91)</f>
        <v>2.5402000000000001E-2</v>
      </c>
      <c r="D91" s="3" cm="1">
        <f t="array" aca="1" ref="D91" ca="1">_xll.YCP("^BBUSCOHYTR", "total_monthly_return",A91)</f>
        <v>1.0689000000000001E-2</v>
      </c>
      <c r="E91">
        <v>-8.0000000000000002E-3</v>
      </c>
      <c r="F91" s="3" cm="1">
        <f t="array" aca="1" ref="F91" ca="1">_xll.YCP("^BBGATR", "total_monthly_return",A91)</f>
        <v>3.1621999999999997E-2</v>
      </c>
      <c r="G91" s="3" cm="1">
        <f t="array" aca="1" ref="G91" ca="1">_xll.YCP("^MSACWI", "total_monthly_return",A91)</f>
        <v>3.1526999999999999E-2</v>
      </c>
      <c r="H91" s="4">
        <f t="shared" ca="1" si="7"/>
        <v>3.1598249999999994E-2</v>
      </c>
      <c r="I91">
        <f t="shared" ca="1" si="8"/>
        <v>3.1580437499999996E-2</v>
      </c>
      <c r="J91">
        <f t="shared" ca="1" si="10"/>
        <v>1270.8372171732096</v>
      </c>
      <c r="K91" s="5">
        <f t="shared" ca="1" si="11"/>
        <v>0.27083721717320963</v>
      </c>
      <c r="L91">
        <f t="shared" ca="1" si="9"/>
        <v>2.99268E-2</v>
      </c>
      <c r="M91">
        <f t="shared" ca="1" si="12"/>
        <v>1542.5214066425983</v>
      </c>
      <c r="N91" s="5">
        <f t="shared" ca="1" si="13"/>
        <v>0.54252140664259829</v>
      </c>
    </row>
    <row r="92" spans="1:14" x14ac:dyDescent="0.25">
      <c r="A92" s="2">
        <v>45046</v>
      </c>
      <c r="B92" s="3" cm="1">
        <f t="array" aca="1" ref="B92" ca="1">_xll.YCP("^SPX", "total_monthly_return",A92)</f>
        <v>1.5608E-2</v>
      </c>
      <c r="C92" s="3" cm="1">
        <f t="array" aca="1" ref="C92" ca="1">_xll.YCP("^BBUSATR", "total_monthly_return",A92)</f>
        <v>6.0610000000000004E-3</v>
      </c>
      <c r="D92" s="3" cm="1">
        <f t="array" aca="1" ref="D92" ca="1">_xll.YCP("^BBUSCOHYTR", "total_monthly_return",A92)</f>
        <v>9.9860000000000001E-3</v>
      </c>
      <c r="E92">
        <v>2.3999999999999998E-3</v>
      </c>
      <c r="F92" s="3" cm="1">
        <f t="array" aca="1" ref="F92" ca="1">_xll.YCP("^BBGATR", "total_monthly_return",A92)</f>
        <v>4.4130000000000003E-3</v>
      </c>
      <c r="G92" s="3" cm="1">
        <f t="array" aca="1" ref="G92" ca="1">_xll.YCP("^MSACWI", "total_monthly_return",A92)</f>
        <v>1.4848E-2</v>
      </c>
      <c r="H92" s="4">
        <f t="shared" ca="1" si="7"/>
        <v>7.0217500000000002E-3</v>
      </c>
      <c r="I92">
        <f t="shared" ca="1" si="8"/>
        <v>8.9783125000000002E-3</v>
      </c>
      <c r="J92">
        <f t="shared" ca="1" si="10"/>
        <v>1282.2471908456212</v>
      </c>
      <c r="K92" s="5">
        <f t="shared" ca="1" si="11"/>
        <v>0.28224719084562117</v>
      </c>
      <c r="L92">
        <f t="shared" ca="1" si="9"/>
        <v>9.8798000000000011E-3</v>
      </c>
      <c r="M92">
        <f t="shared" ca="1" si="12"/>
        <v>1557.7612096359458</v>
      </c>
      <c r="N92" s="5">
        <f t="shared" ca="1" si="13"/>
        <v>0.55776120963594578</v>
      </c>
    </row>
    <row r="93" spans="1:14" x14ac:dyDescent="0.25">
      <c r="A93" s="2">
        <v>45077</v>
      </c>
      <c r="B93" s="3" cm="1">
        <f t="array" aca="1" ref="B93" ca="1">_xll.YCP("^SPX", "total_monthly_return",A93)</f>
        <v>4.3470000000000002E-3</v>
      </c>
      <c r="C93" s="3" cm="1">
        <f t="array" aca="1" ref="C93" ca="1">_xll.YCP("^BBUSATR", "total_monthly_return",A93)</f>
        <v>-1.0888999999999999E-2</v>
      </c>
      <c r="D93" s="3" cm="1">
        <f t="array" aca="1" ref="D93" ca="1">_xll.YCP("^BBUSCOHYTR", "total_monthly_return",A93)</f>
        <v>-9.1640000000000003E-3</v>
      </c>
      <c r="E93">
        <v>-2E-3</v>
      </c>
      <c r="F93" s="3" cm="1">
        <f t="array" aca="1" ref="F93" ca="1">_xll.YCP("^BBGATR", "total_monthly_return",A93)</f>
        <v>-1.9547999999999999E-2</v>
      </c>
      <c r="G93" s="3" cm="1">
        <f t="array" aca="1" ref="G93" ca="1">_xll.YCP("^MSACWI", "total_monthly_return",A93)</f>
        <v>-9.9970000000000007E-3</v>
      </c>
      <c r="H93" s="4">
        <f t="shared" ca="1" si="7"/>
        <v>-1.7160250000000002E-2</v>
      </c>
      <c r="I93">
        <f t="shared" ca="1" si="8"/>
        <v>-1.5369437500000001E-2</v>
      </c>
      <c r="J93">
        <f t="shared" ca="1" si="10"/>
        <v>1262.5397727863688</v>
      </c>
      <c r="K93" s="5">
        <f t="shared" ca="1" si="11"/>
        <v>0.26253977278636875</v>
      </c>
      <c r="L93">
        <f t="shared" ca="1" si="9"/>
        <v>-4.7945999999999987E-3</v>
      </c>
      <c r="M93">
        <f t="shared" ca="1" si="12"/>
        <v>1550.2923677402252</v>
      </c>
      <c r="N93" s="5">
        <f t="shared" ca="1" si="13"/>
        <v>0.55029236774022527</v>
      </c>
    </row>
    <row r="94" spans="1:14" x14ac:dyDescent="0.25">
      <c r="A94" s="2">
        <v>45107</v>
      </c>
      <c r="B94" s="3" cm="1">
        <f t="array" aca="1" ref="B94" ca="1">_xll.YCP("^SPX", "total_monthly_return",A94)</f>
        <v>6.6074999999999995E-2</v>
      </c>
      <c r="C94" s="3" cm="1">
        <f t="array" aca="1" ref="C94" ca="1">_xll.YCP("^BBUSATR", "total_monthly_return",A94)</f>
        <v>-3.5669999999999999E-3</v>
      </c>
      <c r="D94" s="3" cm="1">
        <f t="array" aca="1" ref="D94" ca="1">_xll.YCP("^BBUSCOHYTR", "total_monthly_return",A94)</f>
        <v>1.6733000000000001E-2</v>
      </c>
      <c r="E94">
        <v>2.1399999999999999E-2</v>
      </c>
      <c r="F94" s="3" cm="1">
        <f t="array" aca="1" ref="F94" ca="1">_xll.YCP("^BBGATR", "total_monthly_return",A94)</f>
        <v>-7.7999999999999999E-5</v>
      </c>
      <c r="G94" s="3" cm="1">
        <f t="array" aca="1" ref="G94" ca="1">_xll.YCP("^MSACWI", "total_monthly_return",A94)</f>
        <v>5.8502999999999999E-2</v>
      </c>
      <c r="H94" s="4">
        <f t="shared" ca="1" si="7"/>
        <v>1.456725E-2</v>
      </c>
      <c r="I94">
        <f t="shared" ca="1" si="8"/>
        <v>2.5551187499999999E-2</v>
      </c>
      <c r="J94">
        <f t="shared" ca="1" si="10"/>
        <v>1294.7991632470407</v>
      </c>
      <c r="K94" s="5">
        <f t="shared" ca="1" si="11"/>
        <v>0.2947991632470407</v>
      </c>
      <c r="L94">
        <f t="shared" ca="1" si="9"/>
        <v>2.42898E-2</v>
      </c>
      <c r="M94">
        <f t="shared" ca="1" si="12"/>
        <v>1587.9486592941619</v>
      </c>
      <c r="N94" s="5">
        <f t="shared" ca="1" si="13"/>
        <v>0.58794865929416185</v>
      </c>
    </row>
    <row r="95" spans="1:14" x14ac:dyDescent="0.25">
      <c r="A95" s="2">
        <v>45138</v>
      </c>
      <c r="B95" s="3" cm="1">
        <f t="array" aca="1" ref="B95" ca="1">_xll.YCP("^SPX", "total_monthly_return",A95)</f>
        <v>3.2125000000000001E-2</v>
      </c>
      <c r="C95" s="3" cm="1">
        <f t="array" aca="1" ref="C95" ca="1">_xll.YCP("^BBUSATR", "total_monthly_return",A95)</f>
        <v>-6.9700000000000003E-4</v>
      </c>
      <c r="D95" s="3" cm="1">
        <f t="array" aca="1" ref="D95" ca="1">_xll.YCP("^BBUSCOHYTR", "total_monthly_return",A95)</f>
        <v>1.3797E-2</v>
      </c>
      <c r="E95">
        <v>1.78E-2</v>
      </c>
      <c r="F95" s="3" cm="1">
        <f t="array" aca="1" ref="F95" ca="1">_xll.YCP("^BBGATR", "total_monthly_return",A95)</f>
        <v>6.9249999999999997E-3</v>
      </c>
      <c r="G95" s="3" cm="1">
        <f t="array" aca="1" ref="G95" ca="1">_xll.YCP("^MSACWI", "total_monthly_return",A95)</f>
        <v>3.6906000000000001E-2</v>
      </c>
      <c r="H95" s="4">
        <f t="shared" ca="1" si="7"/>
        <v>1.4420249999999999E-2</v>
      </c>
      <c r="I95">
        <f t="shared" ca="1" si="8"/>
        <v>2.0041687500000002E-2</v>
      </c>
      <c r="J95">
        <f t="shared" ca="1" si="10"/>
        <v>1320.7491234520994</v>
      </c>
      <c r="K95" s="5">
        <f t="shared" ca="1" si="11"/>
        <v>0.32074912345209944</v>
      </c>
      <c r="L95">
        <f t="shared" ca="1" si="9"/>
        <v>1.24318E-2</v>
      </c>
      <c r="M95">
        <f t="shared" ca="1" si="12"/>
        <v>1607.6897194367752</v>
      </c>
      <c r="N95" s="5">
        <f t="shared" ca="1" si="13"/>
        <v>0.6076897194367753</v>
      </c>
    </row>
    <row r="96" spans="1:14" x14ac:dyDescent="0.25">
      <c r="A96" s="2">
        <v>45169</v>
      </c>
      <c r="B96" s="3" cm="1">
        <f t="array" aca="1" ref="B96" ca="1">_xll.YCP("^SPX", "total_monthly_return",A96)</f>
        <v>-1.5921999999999999E-2</v>
      </c>
      <c r="C96" s="3" cm="1">
        <f t="array" aca="1" ref="C96" ca="1">_xll.YCP("^BBUSATR", "total_monthly_return",A96)</f>
        <v>-6.3870000000000003E-3</v>
      </c>
      <c r="D96" s="3" cm="1">
        <f t="array" aca="1" ref="D96" ca="1">_xll.YCP("^BBUSCOHYTR", "total_monthly_return",A96)</f>
        <v>2.7699999999999999E-3</v>
      </c>
      <c r="E96">
        <v>-7.1999999999999998E-3</v>
      </c>
      <c r="F96" s="3" cm="1">
        <f t="array" aca="1" ref="F96" ca="1">_xll.YCP("^BBGATR", "total_monthly_return",A96)</f>
        <v>-1.3679999999999999E-2</v>
      </c>
      <c r="G96" s="3" cm="1">
        <f t="array" aca="1" ref="G96" ca="1">_xll.YCP("^MSACWI", "total_monthly_return",A96)</f>
        <v>-2.7546000000000001E-2</v>
      </c>
      <c r="H96" s="4">
        <f t="shared" ca="1" si="7"/>
        <v>-1.7146500000000002E-2</v>
      </c>
      <c r="I96">
        <f t="shared" ca="1" si="8"/>
        <v>-1.9746375000000004E-2</v>
      </c>
      <c r="J96">
        <f t="shared" ca="1" si="10"/>
        <v>1294.669115979493</v>
      </c>
      <c r="K96" s="5">
        <f t="shared" ca="1" si="11"/>
        <v>0.29466911597949297</v>
      </c>
      <c r="L96">
        <f t="shared" ca="1" si="9"/>
        <v>-1.0201E-2</v>
      </c>
      <c r="M96">
        <f t="shared" ca="1" si="12"/>
        <v>1591.2896766088006</v>
      </c>
      <c r="N96" s="5">
        <f t="shared" ca="1" si="13"/>
        <v>0.59128967660880061</v>
      </c>
    </row>
    <row r="97" spans="1:14" x14ac:dyDescent="0.25">
      <c r="A97" s="2">
        <v>45199</v>
      </c>
      <c r="B97" s="3" cm="1">
        <f t="array" aca="1" ref="B97" ca="1">_xll.YCP("^SPX", "total_monthly_return",A97)</f>
        <v>-4.7677999999999998E-2</v>
      </c>
      <c r="C97" s="3" cm="1">
        <f t="array" aca="1" ref="C97" ca="1">_xll.YCP("^BBUSATR", "total_monthly_return",A97)</f>
        <v>-2.5412000000000001E-2</v>
      </c>
      <c r="D97" s="3" cm="1">
        <f t="array" aca="1" ref="D97" ca="1">_xll.YCP("^BBUSCOHYTR", "total_monthly_return",A97)</f>
        <v>-1.183E-2</v>
      </c>
      <c r="E97">
        <v>-6.4999999999999997E-3</v>
      </c>
      <c r="F97" s="3" cm="1">
        <f t="array" aca="1" ref="F97" ca="1">_xll.YCP("^BBGATR", "total_monthly_return",A97)</f>
        <v>-2.9212999999999999E-2</v>
      </c>
      <c r="G97" s="3" cm="1">
        <f t="array" aca="1" ref="G97" ca="1">_xll.YCP("^MSACWI", "total_monthly_return",A97)</f>
        <v>-4.0995999999999998E-2</v>
      </c>
      <c r="H97" s="4">
        <f t="shared" ca="1" si="7"/>
        <v>-3.215875E-2</v>
      </c>
      <c r="I97">
        <f t="shared" ca="1" si="8"/>
        <v>-3.4368062499999998E-2</v>
      </c>
      <c r="J97">
        <f t="shared" ca="1" si="10"/>
        <v>1250.17384688469</v>
      </c>
      <c r="K97" s="5">
        <f t="shared" ca="1" si="11"/>
        <v>0.25017384688468997</v>
      </c>
      <c r="L97">
        <f t="shared" ca="1" si="9"/>
        <v>-3.4318399999999999E-2</v>
      </c>
      <c r="M97">
        <f t="shared" ca="1" si="12"/>
        <v>1536.6791609710692</v>
      </c>
      <c r="N97" s="5">
        <f t="shared" ca="1" si="13"/>
        <v>0.53667916097106927</v>
      </c>
    </row>
    <row r="98" spans="1:14" x14ac:dyDescent="0.25">
      <c r="A98" s="2">
        <v>45230</v>
      </c>
      <c r="B98" s="3" cm="1">
        <f t="array" aca="1" ref="B98" ca="1">_xll.YCP("^SPX", "total_monthly_return",A98)</f>
        <v>-2.1027000000000001E-2</v>
      </c>
      <c r="C98" s="3" cm="1">
        <f t="array" aca="1" ref="C98" ca="1">_xll.YCP("^BBUSATR", "total_monthly_return",A98)</f>
        <v>-1.5781E-2</v>
      </c>
      <c r="D98" s="3" cm="1">
        <f t="array" aca="1" ref="D98" ca="1">_xll.YCP("^BBUSCOHYTR", "total_monthly_return",A98)</f>
        <v>-1.1645000000000001E-2</v>
      </c>
      <c r="E98">
        <v>-1.6E-2</v>
      </c>
      <c r="F98" s="3" cm="1">
        <f t="array" aca="1" ref="F98" ca="1">_xll.YCP("^BBGATR", "total_monthly_return",A98)</f>
        <v>-1.1953E-2</v>
      </c>
      <c r="G98" s="3" cm="1">
        <f t="array" aca="1" ref="G98" ca="1">_xll.YCP("^MSACWI", "total_monthly_return",A98)</f>
        <v>-2.9843000000000001E-2</v>
      </c>
      <c r="H98" s="4">
        <f t="shared" ca="1" si="7"/>
        <v>-1.6425500000000003E-2</v>
      </c>
      <c r="I98">
        <f t="shared" ca="1" si="8"/>
        <v>-1.9779875000000002E-2</v>
      </c>
      <c r="J98">
        <f t="shared" ca="1" si="10"/>
        <v>1225.4455644650416</v>
      </c>
      <c r="K98" s="5">
        <f t="shared" ca="1" si="11"/>
        <v>0.22544556446504158</v>
      </c>
      <c r="L98">
        <f t="shared" ca="1" si="9"/>
        <v>-1.78794E-2</v>
      </c>
      <c r="M98">
        <f t="shared" ca="1" si="12"/>
        <v>1509.204259580403</v>
      </c>
      <c r="N98" s="5">
        <f t="shared" ca="1" si="13"/>
        <v>0.50920425958040305</v>
      </c>
    </row>
    <row r="99" spans="1:14" x14ac:dyDescent="0.25">
      <c r="A99" s="2">
        <v>45260</v>
      </c>
      <c r="B99" s="3" cm="1">
        <f t="array" aca="1" ref="B99" ca="1">_xll.YCP("^SPX", "total_monthly_return",A99)</f>
        <v>9.1325000000000003E-2</v>
      </c>
      <c r="C99" s="3" cm="1">
        <f t="array" aca="1" ref="C99" ca="1">_xll.YCP("^BBUSATR", "total_monthly_return",A99)</f>
        <v>4.5286E-2</v>
      </c>
      <c r="D99" s="3" cm="1">
        <f t="array" aca="1" ref="D99" ca="1">_xll.YCP("^BBUSCOHYTR", "total_monthly_return",A99)</f>
        <v>4.5303999999999997E-2</v>
      </c>
      <c r="E99">
        <v>2.63E-2</v>
      </c>
      <c r="F99" s="3" cm="1">
        <f t="array" aca="1" ref="F99" ca="1">_xll.YCP("^BBGATR", "total_monthly_return",A99)</f>
        <v>5.0425999999999999E-2</v>
      </c>
      <c r="G99" s="3" cm="1">
        <f t="array" aca="1" ref="G99" ca="1">_xll.YCP("^MSACWI", "total_monthly_return",A99)</f>
        <v>9.2771999999999993E-2</v>
      </c>
      <c r="H99" s="4">
        <f t="shared" ca="1" si="7"/>
        <v>6.1012499999999997E-2</v>
      </c>
      <c r="I99">
        <f t="shared" ca="1" si="8"/>
        <v>6.8952374999999996E-2</v>
      </c>
      <c r="J99">
        <f t="shared" ca="1" si="10"/>
        <v>1309.9429465681219</v>
      </c>
      <c r="K99" s="5">
        <f t="shared" ca="1" si="11"/>
        <v>0.30994294656812188</v>
      </c>
      <c r="L99">
        <f t="shared" ca="1" si="9"/>
        <v>6.3701599999999997E-2</v>
      </c>
      <c r="M99">
        <f t="shared" ca="1" si="12"/>
        <v>1605.3429856424898</v>
      </c>
      <c r="N99" s="5">
        <f t="shared" ca="1" si="13"/>
        <v>0.60534298564248978</v>
      </c>
    </row>
    <row r="100" spans="1:14" x14ac:dyDescent="0.25">
      <c r="A100" s="2">
        <v>45291</v>
      </c>
      <c r="B100" s="3" cm="1">
        <f t="array" aca="1" ref="B100" ca="1">_xll.YCP("^SPX", "total_monthly_return",A100)</f>
        <v>4.5430999999999999E-2</v>
      </c>
      <c r="C100" s="3" cm="1">
        <f t="array" aca="1" ref="C100" ca="1">_xll.YCP("^BBUSATR", "total_monthly_return",A100)</f>
        <v>3.8279000000000001E-2</v>
      </c>
      <c r="D100" s="3" cm="1">
        <f t="array" aca="1" ref="D100" ca="1">_xll.YCP("^BBUSCOHYTR", "total_monthly_return",A100)</f>
        <v>3.7280000000000001E-2</v>
      </c>
      <c r="E100">
        <v>3.15E-2</v>
      </c>
      <c r="F100" s="3" cm="1">
        <f t="array" aca="1" ref="F100" ca="1">_xll.YCP("^BBGATR", "total_monthly_return",A100)</f>
        <v>4.1561000000000001E-2</v>
      </c>
      <c r="G100" s="3" cm="1">
        <f t="array" aca="1" ref="G100" ca="1">_xll.YCP("^MSACWI", "total_monthly_return",A100)</f>
        <v>4.8384000000000003E-2</v>
      </c>
      <c r="H100" s="4">
        <f t="shared" ca="1" si="7"/>
        <v>4.326675E-2</v>
      </c>
      <c r="I100">
        <f t="shared" ca="1" si="8"/>
        <v>4.4546062500000004E-2</v>
      </c>
      <c r="J100">
        <f t="shared" ca="1" si="10"/>
        <v>1368.2957469373796</v>
      </c>
      <c r="K100" s="5">
        <f t="shared" ca="1" si="11"/>
        <v>0.3682957469373796</v>
      </c>
      <c r="L100">
        <f t="shared" ca="1" si="9"/>
        <v>4.1139800000000004E-2</v>
      </c>
      <c r="M100">
        <f t="shared" ca="1" si="12"/>
        <v>1671.3864750032249</v>
      </c>
      <c r="N100" s="5">
        <f t="shared" ca="1" si="13"/>
        <v>0.6713864750032249</v>
      </c>
    </row>
    <row r="101" spans="1:14" x14ac:dyDescent="0.25">
      <c r="A101" s="2">
        <v>45322</v>
      </c>
      <c r="B101" s="3" cm="1">
        <f t="array" aca="1" ref="B101" ca="1">_xll.YCP("^SPX", "total_monthly_return",A101)</f>
        <v>1.6803999999999999E-2</v>
      </c>
      <c r="C101" s="3" cm="1">
        <f t="array" aca="1" ref="C101" ca="1">_xll.YCP("^BBUSATR", "total_monthly_return",A101)</f>
        <v>-2.7460000000000002E-3</v>
      </c>
      <c r="D101" s="3" cm="1">
        <f t="array" aca="1" ref="D101" ca="1">_xll.YCP("^BBUSCOHYTR", "total_monthly_return",A101)</f>
        <v>-4.0000000000000003E-5</v>
      </c>
      <c r="E101">
        <v>2E-3</v>
      </c>
      <c r="F101" s="3" cm="1">
        <f t="array" aca="1" ref="F101" ca="1">_xll.YCP("^BBGATR", "total_monthly_return",A101)</f>
        <v>-1.3798E-2</v>
      </c>
      <c r="G101" s="3" cm="1">
        <f t="array" aca="1" ref="G101" ca="1">_xll.YCP("^MSACWI", "total_monthly_return",A101)</f>
        <v>6.0780000000000001E-3</v>
      </c>
      <c r="H101" s="4">
        <f t="shared" ca="1" si="7"/>
        <v>-8.829E-3</v>
      </c>
      <c r="I101">
        <f t="shared" ca="1" si="8"/>
        <v>-5.10225E-3</v>
      </c>
      <c r="J101">
        <f t="shared" ca="1" si="10"/>
        <v>1361.3143599625685</v>
      </c>
      <c r="K101" s="5">
        <f t="shared" ca="1" si="11"/>
        <v>0.36131435996256844</v>
      </c>
      <c r="L101">
        <f t="shared" ca="1" si="9"/>
        <v>5.0740000000000004E-3</v>
      </c>
      <c r="M101">
        <f t="shared" ca="1" si="12"/>
        <v>1679.8670899773913</v>
      </c>
      <c r="N101" s="5">
        <f t="shared" ca="1" si="13"/>
        <v>0.67986708997739131</v>
      </c>
    </row>
    <row r="102" spans="1:14" x14ac:dyDescent="0.25">
      <c r="A102" s="2">
        <v>45351</v>
      </c>
      <c r="B102" s="3" cm="1">
        <f t="array" aca="1" ref="B102" ca="1">_xll.YCP("^SPX", "total_monthly_return",A102)</f>
        <v>5.3395999999999999E-2</v>
      </c>
      <c r="C102" s="3" cm="1">
        <f t="array" aca="1" ref="C102" ca="1">_xll.YCP("^BBUSATR", "total_monthly_return",A102)</f>
        <v>-1.4128E-2</v>
      </c>
      <c r="D102" s="3" cm="1">
        <f t="array" aca="1" ref="D102" ca="1">_xll.YCP("^BBUSCOHYTR", "total_monthly_return",A102)</f>
        <v>2.9220000000000001E-3</v>
      </c>
      <c r="E102">
        <v>2.18E-2</v>
      </c>
      <c r="F102" s="3" cm="1">
        <f t="array" aca="1" ref="F102" ca="1">_xll.YCP("^BBGATR", "total_monthly_return",A102)</f>
        <v>-1.2567E-2</v>
      </c>
      <c r="G102" s="3" cm="1">
        <f t="array" aca="1" ref="G102" ca="1">_xll.YCP("^MSACWI", "total_monthly_return",A102)</f>
        <v>4.3281E-2</v>
      </c>
      <c r="H102" s="4">
        <f t="shared" ca="1" si="7"/>
        <v>1.3950000000000004E-3</v>
      </c>
      <c r="I102">
        <f t="shared" ca="1" si="8"/>
        <v>1.18665E-2</v>
      </c>
      <c r="J102">
        <f t="shared" ca="1" si="10"/>
        <v>1377.4683968150644</v>
      </c>
      <c r="K102" s="5">
        <f t="shared" ca="1" si="11"/>
        <v>0.37746839681506433</v>
      </c>
      <c r="L102">
        <f t="shared" ca="1" si="9"/>
        <v>1.28816E-2</v>
      </c>
      <c r="M102">
        <f t="shared" ca="1" si="12"/>
        <v>1701.5064658836441</v>
      </c>
      <c r="N102" s="5">
        <f t="shared" ca="1" si="13"/>
        <v>0.70150646588364407</v>
      </c>
    </row>
    <row r="103" spans="1:14" x14ac:dyDescent="0.25">
      <c r="A103" s="2">
        <v>45382</v>
      </c>
      <c r="B103" s="3" cm="1">
        <f t="array" aca="1" ref="B103" ca="1">_xll.YCP("^SPX", "total_monthly_return",A103)</f>
        <v>3.2175000000000002E-2</v>
      </c>
      <c r="C103" s="3" cm="1">
        <f t="array" aca="1" ref="C103" ca="1">_xll.YCP("^BBUSATR", "total_monthly_return",A103)</f>
        <v>9.2339999999999992E-3</v>
      </c>
      <c r="D103" s="3" cm="1">
        <f t="array" aca="1" ref="D103" ca="1">_xll.YCP("^BBUSCOHYTR", "total_monthly_return",A103)</f>
        <v>1.183E-2</v>
      </c>
      <c r="E103">
        <v>2.01E-2</v>
      </c>
      <c r="F103" s="3" cm="1">
        <f t="array" aca="1" ref="F103" ca="1">_xll.YCP("^BBGATR", "total_monthly_return",A103)</f>
        <v>5.5050000000000003E-3</v>
      </c>
      <c r="G103" s="3" cm="1">
        <f t="array" aca="1" ref="G103" ca="1">_xll.YCP("^MSACWI", "total_monthly_return",A103)</f>
        <v>3.1949999999999999E-2</v>
      </c>
      <c r="H103" s="4">
        <f t="shared" ca="1" si="7"/>
        <v>1.211625E-2</v>
      </c>
      <c r="I103">
        <f t="shared" ca="1" si="8"/>
        <v>1.7074687499999998E-2</v>
      </c>
      <c r="J103">
        <f t="shared" ca="1" si="10"/>
        <v>1400.9882392318077</v>
      </c>
      <c r="K103" s="5">
        <f t="shared" ca="1" si="11"/>
        <v>0.40098823923180771</v>
      </c>
      <c r="L103">
        <f t="shared" ca="1" si="9"/>
        <v>1.84104E-2</v>
      </c>
      <c r="M103">
        <f t="shared" ca="1" si="12"/>
        <v>1732.8318805231484</v>
      </c>
      <c r="N103" s="5">
        <f t="shared" ca="1" si="13"/>
        <v>0.7328318805231484</v>
      </c>
    </row>
    <row r="104" spans="1:14" x14ac:dyDescent="0.25">
      <c r="A104" s="2">
        <v>45412</v>
      </c>
      <c r="B104" s="3" cm="1">
        <f t="array" aca="1" ref="B104" ca="1">_xll.YCP("^SPX", "total_monthly_return",A104)</f>
        <v>-4.0844999999999999E-2</v>
      </c>
      <c r="C104" s="3" cm="1">
        <f t="array" aca="1" ref="C104" ca="1">_xll.YCP("^BBUSATR", "total_monthly_return",A104)</f>
        <v>-2.5257999999999999E-2</v>
      </c>
      <c r="D104" s="3" cm="1">
        <f t="array" aca="1" ref="D104" ca="1">_xll.YCP("^BBUSCOHYTR", "total_monthly_return",A104)</f>
        <v>-9.4000000000000004E-3</v>
      </c>
      <c r="E104">
        <v>-6.8999999999999999E-3</v>
      </c>
      <c r="F104" s="3" cm="1">
        <f t="array" aca="1" ref="F104" ca="1">_xll.YCP("^BBGATR", "total_monthly_return",A104)</f>
        <v>-2.5236999999999999E-2</v>
      </c>
      <c r="G104" s="3" cm="1">
        <f t="array" aca="1" ref="G104" ca="1">_xll.YCP("^MSACWI", "total_monthly_return",A104)</f>
        <v>-3.2565999999999998E-2</v>
      </c>
      <c r="H104" s="4">
        <f t="shared" ca="1" si="7"/>
        <v>-2.706925E-2</v>
      </c>
      <c r="I104">
        <f t="shared" ca="1" si="8"/>
        <v>-2.8443437499999998E-2</v>
      </c>
      <c r="J104">
        <f t="shared" ca="1" si="10"/>
        <v>1361.1393178109827</v>
      </c>
      <c r="K104" s="5">
        <f t="shared" ca="1" si="11"/>
        <v>0.36113931781098269</v>
      </c>
      <c r="L104">
        <f t="shared" ca="1" si="9"/>
        <v>-3.1492800000000001E-2</v>
      </c>
      <c r="M104">
        <f t="shared" ca="1" si="12"/>
        <v>1678.2601526762089</v>
      </c>
      <c r="N104" s="5">
        <f t="shared" ca="1" si="13"/>
        <v>0.67826015267620887</v>
      </c>
    </row>
    <row r="105" spans="1:14" x14ac:dyDescent="0.25">
      <c r="A105" s="2">
        <v>45443</v>
      </c>
      <c r="B105" s="3" cm="1">
        <f t="array" aca="1" ref="B105" ca="1">_xll.YCP("^SPX", "total_monthly_return",A105)</f>
        <v>4.9584999999999997E-2</v>
      </c>
      <c r="C105" s="3" cm="1">
        <f t="array" aca="1" ref="C105" ca="1">_xll.YCP("^BBUSATR", "total_monthly_return",A105)</f>
        <v>1.6952999999999999E-2</v>
      </c>
      <c r="D105" s="3" cm="1">
        <f t="array" aca="1" ref="D105" ca="1">_xll.YCP("^BBUSCOHYTR", "total_monthly_return",A105)</f>
        <v>1.0985999999999999E-2</v>
      </c>
      <c r="E105">
        <v>1.41E-2</v>
      </c>
      <c r="F105" s="3" cm="1">
        <f t="array" aca="1" ref="F105" ca="1">_xll.YCP("^BBGATR", "total_monthly_return",A105)</f>
        <v>1.3106E-2</v>
      </c>
      <c r="G105" s="3" cm="1">
        <f t="array" aca="1" ref="G105" ca="1">_xll.YCP("^MSACWI", "total_monthly_return",A105)</f>
        <v>4.1245999999999998E-2</v>
      </c>
      <c r="H105" s="4">
        <f t="shared" ca="1" si="7"/>
        <v>2.0140999999999999E-2</v>
      </c>
      <c r="I105">
        <f t="shared" ca="1" si="8"/>
        <v>2.5417249999999999E-2</v>
      </c>
      <c r="J105">
        <f t="shared" ca="1" si="10"/>
        <v>1395.7357361366139</v>
      </c>
      <c r="K105" s="5">
        <f t="shared" ca="1" si="11"/>
        <v>0.39573573613661395</v>
      </c>
      <c r="L105">
        <f t="shared" ca="1" si="9"/>
        <v>3.0005799999999999E-2</v>
      </c>
      <c r="M105">
        <f t="shared" ca="1" si="12"/>
        <v>1728.6176911653808</v>
      </c>
      <c r="N105" s="5">
        <f t="shared" ca="1" si="13"/>
        <v>0.72861769116538089</v>
      </c>
    </row>
    <row r="106" spans="1:14" x14ac:dyDescent="0.25">
      <c r="A106" s="2">
        <v>45473</v>
      </c>
      <c r="B106" s="3" cm="1">
        <f t="array" aca="1" ref="B106" ca="1">_xll.YCP("^SPX", "total_monthly_return",A106)</f>
        <v>3.5881999999999997E-2</v>
      </c>
      <c r="C106" s="3" cm="1">
        <f t="array" aca="1" ref="C106" ca="1">_xll.YCP("^BBUSATR", "total_monthly_return",A106)</f>
        <v>9.4669999999999997E-3</v>
      </c>
      <c r="D106" s="3" cm="1">
        <f t="array" aca="1" ref="D106" ca="1">_xll.YCP("^BBUSCOHYTR", "total_monthly_return",A106)</f>
        <v>9.4439999999999993E-3</v>
      </c>
      <c r="E106">
        <v>-2.9999999999999997E-4</v>
      </c>
      <c r="F106" s="3" cm="1">
        <f t="array" aca="1" ref="F106" ca="1">_xll.YCP("^BBGATR", "total_monthly_return",A106)</f>
        <v>1.4350000000000001E-3</v>
      </c>
      <c r="G106" s="3" cm="1">
        <f t="array" aca="1" ref="G106" ca="1">_xll.YCP("^MSACWI", "total_monthly_return",A106)</f>
        <v>2.2633E-2</v>
      </c>
      <c r="H106" s="4">
        <f t="shared" ca="1" si="7"/>
        <v>6.7345E-3</v>
      </c>
      <c r="I106">
        <f t="shared" ca="1" si="8"/>
        <v>1.0709125E-2</v>
      </c>
      <c r="J106">
        <f t="shared" ca="1" si="10"/>
        <v>1410.6828446018678</v>
      </c>
      <c r="K106" s="5">
        <f t="shared" ca="1" si="11"/>
        <v>0.41068284460186782</v>
      </c>
      <c r="L106">
        <f t="shared" ca="1" si="9"/>
        <v>2.0032999999999999E-2</v>
      </c>
      <c r="M106">
        <f t="shared" ca="1" si="12"/>
        <v>1763.2470893724969</v>
      </c>
      <c r="N106" s="5">
        <f t="shared" ca="1" si="13"/>
        <v>0.76324708937249697</v>
      </c>
    </row>
    <row r="107" spans="1:14" x14ac:dyDescent="0.25">
      <c r="A107" s="2">
        <v>45504</v>
      </c>
      <c r="B107" s="3" cm="1">
        <f t="array" aca="1" ref="B107" ca="1">_xll.YCP("^SPX", "total_monthly_return",A107)</f>
        <v>1.2172000000000001E-2</v>
      </c>
      <c r="C107" s="3" cm="1">
        <f t="array" aca="1" ref="C107" ca="1">_xll.YCP("^BBUSATR", "total_monthly_return",A107)</f>
        <v>2.3356999999999999E-2</v>
      </c>
      <c r="D107" s="3" cm="1">
        <f t="array" aca="1" ref="D107" ca="1">_xll.YCP("^BBUSCOHYTR", "total_monthly_return",A107)</f>
        <v>1.9441E-2</v>
      </c>
      <c r="E107">
        <v>1.2699999999999999E-2</v>
      </c>
      <c r="F107" s="3" cm="1">
        <f t="array" aca="1" ref="F107" ca="1">_xll.YCP("^BBGATR", "total_monthly_return",A107)</f>
        <v>2.7614E-2</v>
      </c>
      <c r="G107" s="3" cm="1">
        <f t="array" aca="1" ref="G107" ca="1">_xll.YCP("^MSACWI", "total_monthly_return",A107)</f>
        <v>1.6403000000000001E-2</v>
      </c>
      <c r="H107" s="4">
        <f t="shared" ca="1" si="7"/>
        <v>2.481125E-2</v>
      </c>
      <c r="I107">
        <f t="shared" ca="1" si="8"/>
        <v>2.2709187499999998E-2</v>
      </c>
      <c r="J107">
        <f t="shared" ca="1" si="10"/>
        <v>1442.718305822965</v>
      </c>
      <c r="K107" s="5">
        <f t="shared" ca="1" si="11"/>
        <v>0.44271830582296501</v>
      </c>
      <c r="L107">
        <f t="shared" ca="1" si="9"/>
        <v>1.8883E-2</v>
      </c>
      <c r="M107">
        <f t="shared" ca="1" si="12"/>
        <v>1796.5424841611177</v>
      </c>
      <c r="N107" s="5">
        <f t="shared" ca="1" si="13"/>
        <v>0.79654248416111773</v>
      </c>
    </row>
    <row r="108" spans="1:14" x14ac:dyDescent="0.25">
      <c r="A108" s="2">
        <v>45535</v>
      </c>
      <c r="B108" s="3" cm="1">
        <f t="array" aca="1" ref="B108" ca="1">_xll.YCP("^SPX", "total_monthly_return",A108)</f>
        <v>2.4257000000000001E-2</v>
      </c>
      <c r="C108" s="3" cm="1">
        <f t="array" aca="1" ref="C108" ca="1">_xll.YCP("^BBUSATR", "total_monthly_return",A108)</f>
        <v>1.4370000000000001E-2</v>
      </c>
      <c r="D108" s="3" cm="1">
        <f t="array" aca="1" ref="D108" ca="1">_xll.YCP("^BBUSCOHYTR", "total_monthly_return",A108)</f>
        <v>1.6312E-2</v>
      </c>
      <c r="E108">
        <v>2.5000000000000001E-3</v>
      </c>
      <c r="F108" s="3" cm="1">
        <f t="array" aca="1" ref="F108" ca="1">_xll.YCP("^BBGATR", "total_monthly_return",A108)</f>
        <v>2.366E-2</v>
      </c>
      <c r="G108" s="3" cm="1">
        <f t="array" aca="1" ref="G108" ca="1">_xll.YCP("^MSACWI", "total_monthly_return",A108)</f>
        <v>2.5738E-2</v>
      </c>
      <c r="H108" s="4">
        <f t="shared" ca="1" si="7"/>
        <v>2.41795E-2</v>
      </c>
      <c r="I108">
        <f t="shared" ca="1" si="8"/>
        <v>2.4569125000000001E-2</v>
      </c>
      <c r="J108">
        <f t="shared" ca="1" si="10"/>
        <v>1478.1646322185177</v>
      </c>
      <c r="K108" s="5">
        <f t="shared" ca="1" si="11"/>
        <v>0.47816463221851768</v>
      </c>
      <c r="L108">
        <f t="shared" ca="1" si="9"/>
        <v>1.8324800000000002E-2</v>
      </c>
      <c r="M108">
        <f t="shared" ca="1" si="12"/>
        <v>1829.4637658748734</v>
      </c>
      <c r="N108" s="5">
        <f t="shared" ca="1" si="13"/>
        <v>0.82946376587487336</v>
      </c>
    </row>
    <row r="109" spans="1:14" x14ac:dyDescent="0.25">
      <c r="A109" s="2">
        <v>45565</v>
      </c>
      <c r="B109" s="3" cm="1">
        <f t="array" aca="1" ref="B109" ca="1">_xll.YCP("^SPX", "total_monthly_return",A109)</f>
        <v>2.1357000000000001E-2</v>
      </c>
      <c r="C109" s="3" cm="1">
        <f t="array" aca="1" ref="C109" ca="1">_xll.YCP("^BBUSATR", "total_monthly_return",A109)</f>
        <v>1.3389E-2</v>
      </c>
      <c r="D109" s="3" cm="1">
        <f t="array" aca="1" ref="D109" ca="1">_xll.YCP("^BBUSCOHYTR", "total_monthly_return",A109)</f>
        <v>1.6178999999999999E-2</v>
      </c>
      <c r="E109">
        <v>1.37E-2</v>
      </c>
      <c r="F109" s="3" cm="1">
        <f t="array" aca="1" ref="F109" ca="1">_xll.YCP("^BBGATR", "total_monthly_return",A109)</f>
        <v>1.7018999999999999E-2</v>
      </c>
      <c r="G109" s="3" cm="1">
        <f t="array" aca="1" ref="G109" ca="1">_xll.YCP("^MSACWI", "total_monthly_return",A109)</f>
        <v>2.3609000000000002E-2</v>
      </c>
      <c r="H109" s="4">
        <f t="shared" ca="1" si="7"/>
        <v>1.8666499999999999E-2</v>
      </c>
      <c r="I109">
        <f t="shared" ca="1" si="8"/>
        <v>1.9902125E-2</v>
      </c>
      <c r="J109">
        <f t="shared" ca="1" si="10"/>
        <v>1507.5832494995097</v>
      </c>
      <c r="K109" s="5">
        <f t="shared" ca="1" si="11"/>
        <v>0.50758324949950973</v>
      </c>
      <c r="L109">
        <f t="shared" ca="1" si="9"/>
        <v>1.6576199999999999E-2</v>
      </c>
      <c r="M109">
        <f t="shared" ca="1" si="12"/>
        <v>1859.7893231507685</v>
      </c>
      <c r="N109" s="5">
        <f t="shared" ca="1" si="13"/>
        <v>0.8597893231507685</v>
      </c>
    </row>
    <row r="110" spans="1:14" x14ac:dyDescent="0.25">
      <c r="A110" s="2">
        <v>45596</v>
      </c>
      <c r="B110" s="3" cm="1">
        <f t="array" aca="1" ref="B110" ca="1">_xll.YCP("^SPX", "total_monthly_return",A110)</f>
        <v>-9.0690000000000007E-3</v>
      </c>
      <c r="C110" s="3" cm="1">
        <f t="array" aca="1" ref="C110" ca="1">_xll.YCP("^BBUSATR", "total_monthly_return",A110)</f>
        <v>-2.4799000000000002E-2</v>
      </c>
      <c r="D110" s="3" cm="1">
        <f t="array" aca="1" ref="D110" ca="1">_xll.YCP("^BBUSCOHYTR", "total_monthly_return",A110)</f>
        <v>-5.4050000000000001E-3</v>
      </c>
      <c r="E110">
        <v>-5.4999999999999997E-3</v>
      </c>
      <c r="F110" s="3" cm="1">
        <f t="array" aca="1" ref="F110" ca="1">_xll.YCP("^BBGATR", "total_monthly_return",A110)</f>
        <v>-3.3519E-2</v>
      </c>
      <c r="G110" s="3" cm="1">
        <f t="array" aca="1" ref="G110" ca="1">_xll.YCP("^MSACWI", "total_monthly_return",A110)</f>
        <v>-2.2116E-2</v>
      </c>
      <c r="H110" s="4">
        <f t="shared" ca="1" si="7"/>
        <v>-3.0668250000000001E-2</v>
      </c>
      <c r="I110">
        <f t="shared" ca="1" si="8"/>
        <v>-2.8530187499999998E-2</v>
      </c>
      <c r="J110">
        <f t="shared" ca="1" si="10"/>
        <v>1464.5716167194294</v>
      </c>
      <c r="K110" s="5">
        <f t="shared" ca="1" si="11"/>
        <v>0.46457161671942937</v>
      </c>
      <c r="L110">
        <f t="shared" ca="1" si="9"/>
        <v>-1.8507000000000003E-2</v>
      </c>
      <c r="M110">
        <f t="shared" ca="1" si="12"/>
        <v>1825.3702021472172</v>
      </c>
      <c r="N110" s="5">
        <f t="shared" ca="1" si="13"/>
        <v>0.82537020214721724</v>
      </c>
    </row>
    <row r="111" spans="1:14" x14ac:dyDescent="0.25">
      <c r="A111" s="2">
        <v>45626</v>
      </c>
      <c r="B111" s="3" cm="1">
        <f t="array" aca="1" ref="B111" ca="1">_xll.YCP("^SPX", "total_monthly_return",A111)</f>
        <v>5.8701000000000003E-2</v>
      </c>
      <c r="C111" s="3" cm="1">
        <f t="array" aca="1" ref="C111" ca="1">_xll.YCP("^BBUSATR", "total_monthly_return",A111)</f>
        <v>1.0573000000000001E-2</v>
      </c>
      <c r="D111" s="3" cm="1">
        <f t="array" aca="1" ref="D111" ca="1">_xll.YCP("^BBUSCOHYTR", "total_monthly_return",A111)</f>
        <v>1.1505E-2</v>
      </c>
      <c r="E111">
        <v>2.4199999999999999E-2</v>
      </c>
      <c r="F111" s="3" cm="1">
        <f t="array" aca="1" ref="F111" ca="1">_xll.YCP("^BBGATR", "total_monthly_return",A111)</f>
        <v>3.4090000000000001E-3</v>
      </c>
      <c r="G111" s="3" cm="1">
        <f t="array" aca="1" ref="G111" ca="1">_xll.YCP("^MSACWI", "total_monthly_return",A111)</f>
        <v>3.7731000000000001E-2</v>
      </c>
      <c r="H111" s="4">
        <f t="shared" ca="1" si="7"/>
        <v>1.19895E-2</v>
      </c>
      <c r="I111">
        <f t="shared" ca="1" si="8"/>
        <v>1.8424875E-2</v>
      </c>
      <c r="J111">
        <f t="shared" ca="1" si="10"/>
        <v>1491.5561656860327</v>
      </c>
      <c r="K111" s="5">
        <f t="shared" ca="1" si="11"/>
        <v>0.49155616568603272</v>
      </c>
      <c r="L111">
        <f t="shared" ca="1" si="9"/>
        <v>2.9824200000000002E-2</v>
      </c>
      <c r="M111">
        <f t="shared" ca="1" si="12"/>
        <v>1879.8104081300962</v>
      </c>
      <c r="N111" s="5">
        <f t="shared" ca="1" si="13"/>
        <v>0.87981040813009626</v>
      </c>
    </row>
    <row r="112" spans="1:14" x14ac:dyDescent="0.25">
      <c r="A112" s="2">
        <v>45657</v>
      </c>
      <c r="B112" s="3" cm="1">
        <f t="array" aca="1" ref="B112" ca="1">_xll.YCP("^SPX", "total_monthly_return",A112)</f>
        <v>-2.3838000000000002E-2</v>
      </c>
      <c r="C112" s="3" cm="1">
        <f t="array" aca="1" ref="C112" ca="1">_xll.YCP("^BBUSATR", "total_monthly_return",A112)</f>
        <v>-1.6365999999999999E-2</v>
      </c>
      <c r="D112" s="3" cm="1">
        <f t="array" aca="1" ref="D112" ca="1">_xll.YCP("^BBUSCOHYTR", "total_monthly_return",A112)</f>
        <v>-4.2630000000000003E-3</v>
      </c>
      <c r="E112">
        <v>-4.3E-3</v>
      </c>
      <c r="F112" s="3" cm="1">
        <f t="array" aca="1" ref="F112" ca="1">_xll.YCP("^BBGATR", "total_monthly_return",A112)</f>
        <v>-2.1453E-2</v>
      </c>
      <c r="G112" s="3" cm="1">
        <f t="array" aca="1" ref="G112" ca="1">_xll.YCP("^MSACWI", "total_monthly_return",A112)</f>
        <v>-2.3342000000000002E-2</v>
      </c>
      <c r="H112" s="4">
        <f t="shared" ca="1" si="7"/>
        <v>-2.192525E-2</v>
      </c>
      <c r="I112">
        <f t="shared" ca="1" si="8"/>
        <v>-2.2279437499999999E-2</v>
      </c>
      <c r="J112">
        <f t="shared" ca="1" si="10"/>
        <v>1458.3251333148912</v>
      </c>
      <c r="K112" s="5">
        <f t="shared" ca="1" si="11"/>
        <v>0.45832513331489122</v>
      </c>
      <c r="L112">
        <f t="shared" ca="1" si="9"/>
        <v>-1.9354799999999998E-2</v>
      </c>
      <c r="M112">
        <f t="shared" ca="1" si="12"/>
        <v>1843.4270536428198</v>
      </c>
      <c r="N112" s="5">
        <f t="shared" ca="1" si="13"/>
        <v>0.84342705364281978</v>
      </c>
    </row>
    <row r="113" spans="1:14" x14ac:dyDescent="0.25">
      <c r="A113" s="2">
        <v>45688</v>
      </c>
      <c r="B113" s="3" cm="1">
        <f t="array" aca="1" ref="B113" ca="1">_xll.YCP("^SPX", "total_monthly_return",A113)</f>
        <v>2.7847E-2</v>
      </c>
      <c r="C113" s="3" cm="1">
        <f t="array" aca="1" ref="C113" ca="1">_xll.YCP("^BBUSATR", "total_monthly_return",A113)</f>
        <v>5.3049999999999998E-3</v>
      </c>
      <c r="D113" s="3" cm="1">
        <f t="array" aca="1" ref="D113" ca="1">_xll.YCP("^BBUSCOHYTR", "total_monthly_return",A113)</f>
        <v>1.3664000000000001E-2</v>
      </c>
      <c r="E113">
        <v>1.32E-2</v>
      </c>
      <c r="F113" s="3" cm="1">
        <f t="array" aca="1" ref="F113" ca="1">_xll.YCP("^BBGATR", "total_monthly_return",A113)</f>
        <v>5.6909999999999999E-3</v>
      </c>
      <c r="G113" s="3" cm="1">
        <f t="array" aca="1" ref="G113" ca="1">_xll.YCP("^MSACWI", "total_monthly_return",A113)</f>
        <v>3.3789E-2</v>
      </c>
      <c r="H113" s="4">
        <f t="shared" ca="1" si="7"/>
        <v>1.2715499999999999E-2</v>
      </c>
      <c r="I113">
        <f t="shared" ca="1" si="8"/>
        <v>1.7983875E-2</v>
      </c>
      <c r="J113">
        <f t="shared" ca="1" si="10"/>
        <v>1484.5514702217847</v>
      </c>
      <c r="K113" s="5">
        <f t="shared" ca="1" si="11"/>
        <v>0.48455147022178469</v>
      </c>
      <c r="L113">
        <f t="shared" ca="1" si="9"/>
        <v>1.4321800000000001E-2</v>
      </c>
      <c r="M113">
        <f t="shared" ca="1" si="12"/>
        <v>1869.8282472196818</v>
      </c>
      <c r="N113" s="5">
        <f t="shared" ca="1" si="13"/>
        <v>0.86982824721968177</v>
      </c>
    </row>
    <row r="114" spans="1:14" x14ac:dyDescent="0.25">
      <c r="A114" s="2">
        <v>45716</v>
      </c>
      <c r="B114" s="3" cm="1">
        <f t="array" aca="1" ref="B114" ca="1">_xll.YCP("^SPX", "total_monthly_return",A114)</f>
        <v>-1.3048000000000001E-2</v>
      </c>
      <c r="C114" s="3" cm="1">
        <f t="array" aca="1" ref="C114" ca="1">_xll.YCP("^BBUSATR", "total_monthly_return",A114)</f>
        <v>2.2002000000000001E-2</v>
      </c>
      <c r="D114" s="3" cm="1">
        <f t="array" aca="1" ref="D114" ca="1">_xll.YCP("^BBUSCOHYTR", "total_monthly_return",A114)</f>
        <v>6.7120000000000001E-3</v>
      </c>
      <c r="E114">
        <v>-5.5999999999999999E-3</v>
      </c>
      <c r="F114" s="3" cm="1">
        <f t="array" aca="1" ref="F114" ca="1">_xll.YCP("^BBGATR", "total_monthly_return",A114)</f>
        <v>1.43E-2</v>
      </c>
      <c r="G114" s="3" cm="1">
        <f t="array" aca="1" ref="G114" ca="1">_xll.YCP("^MSACWI", "total_monthly_return",A114)</f>
        <v>-5.744E-3</v>
      </c>
      <c r="H114" s="4">
        <f t="shared" ca="1" si="7"/>
        <v>9.2890000000000004E-3</v>
      </c>
      <c r="I114">
        <f t="shared" ca="1" si="8"/>
        <v>5.5307500000000009E-3</v>
      </c>
      <c r="J114">
        <f t="shared" ca="1" si="10"/>
        <v>1492.7621532657138</v>
      </c>
      <c r="K114" s="5">
        <f t="shared" ca="1" si="11"/>
        <v>0.49276215326571376</v>
      </c>
      <c r="L114">
        <f t="shared" ca="1" si="9"/>
        <v>7.9819999999999995E-3</v>
      </c>
      <c r="M114">
        <f t="shared" ca="1" si="12"/>
        <v>1884.7532162889891</v>
      </c>
      <c r="N114" s="5">
        <f t="shared" ca="1" si="13"/>
        <v>0.88475321628898906</v>
      </c>
    </row>
    <row r="115" spans="1:14" x14ac:dyDescent="0.25">
      <c r="A115" s="2">
        <v>45747</v>
      </c>
      <c r="B115" s="3" cm="1">
        <f t="array" aca="1" ref="B115" ca="1">_xll.YCP("^SPX", "total_monthly_return",A115)</f>
        <v>-5.6343999999999998E-2</v>
      </c>
      <c r="C115" s="3" cm="1">
        <f t="array" aca="1" ref="C115" ca="1">_xll.YCP("^BBUSATR", "total_monthly_return",A115)</f>
        <v>3.7599999999999998E-4</v>
      </c>
      <c r="D115" s="3" cm="1">
        <f t="array" aca="1" ref="D115" ca="1">_xll.YCP("^BBUSCOHYTR", "total_monthly_return",A115)</f>
        <v>-1.0222999999999999E-2</v>
      </c>
      <c r="E115">
        <v>-1.17E-2</v>
      </c>
      <c r="F115" s="3" cm="1">
        <f t="array" aca="1" ref="F115" ca="1">_xll.YCP("^BBGATR", "total_monthly_return",A115)</f>
        <v>6.1609999999999998E-3</v>
      </c>
      <c r="G115" s="3" cm="1">
        <f t="array" aca="1" ref="G115" ca="1">_xll.YCP("^MSACWI", "total_monthly_return",A115)</f>
        <v>-3.8965E-2</v>
      </c>
      <c r="H115" s="4">
        <f t="shared" ca="1" si="7"/>
        <v>-5.1205000000000001E-3</v>
      </c>
      <c r="I115">
        <f t="shared" ca="1" si="8"/>
        <v>-1.3581625E-2</v>
      </c>
      <c r="J115">
        <f t="shared" ca="1" si="10"/>
        <v>1472.4880174858663</v>
      </c>
      <c r="K115" s="5">
        <f t="shared" ca="1" si="11"/>
        <v>0.47248801748586627</v>
      </c>
      <c r="L115">
        <f t="shared" ca="1" si="9"/>
        <v>-2.2312000000000002E-2</v>
      </c>
      <c r="M115">
        <f t="shared" ca="1" si="12"/>
        <v>1842.7006025271492</v>
      </c>
      <c r="N115" s="5">
        <f t="shared" ca="1" si="13"/>
        <v>0.84270060252714918</v>
      </c>
    </row>
    <row r="116" spans="1:14" x14ac:dyDescent="0.25">
      <c r="A116" s="2">
        <v>45777</v>
      </c>
      <c r="B116" s="3" cm="1">
        <f t="array" aca="1" ref="B116" ca="1">_xll.YCP("^SPX", "total_monthly_return",A116)</f>
        <v>-6.7809999999999997E-3</v>
      </c>
      <c r="C116" s="3" cm="1">
        <f t="array" aca="1" ref="C116" ca="1">_xll.YCP("^BBUSATR", "total_monthly_return",A116)</f>
        <v>3.9300000000000003E-3</v>
      </c>
      <c r="D116" s="3" cm="1">
        <f t="array" aca="1" ref="D116" ca="1">_xll.YCP("^BBUSCOHYTR", "total_monthly_return",A116)</f>
        <v>-2.0100000000000001E-4</v>
      </c>
      <c r="E116">
        <v>-2.8E-3</v>
      </c>
      <c r="F116" s="3" cm="1">
        <f t="array" aca="1" ref="F116" ca="1">_xll.YCP("^BBGATR", "total_monthly_return",A116)</f>
        <v>2.9387E-2</v>
      </c>
      <c r="G116" s="3" cm="1">
        <f t="array" aca="1" ref="G116" ca="1">_xll.YCP("^MSACWI", "total_monthly_return",A116)</f>
        <v>9.776E-3</v>
      </c>
      <c r="H116" s="4">
        <f t="shared" ca="1" si="7"/>
        <v>2.4484249999999999E-2</v>
      </c>
      <c r="I116">
        <f t="shared" ca="1" si="8"/>
        <v>2.0807187499999998E-2</v>
      </c>
      <c r="J116">
        <f t="shared" ca="1" si="10"/>
        <v>1503.1263517571979</v>
      </c>
      <c r="K116" s="5">
        <f t="shared" ca="1" si="11"/>
        <v>0.50312635175719789</v>
      </c>
      <c r="L116">
        <f t="shared" ca="1" si="9"/>
        <v>-3.5439999999999994E-4</v>
      </c>
      <c r="M116">
        <f t="shared" ca="1" si="12"/>
        <v>1842.0475494336135</v>
      </c>
      <c r="N116" s="5">
        <f t="shared" ca="1" si="13"/>
        <v>0.84204754943361348</v>
      </c>
    </row>
    <row r="117" spans="1:14" x14ac:dyDescent="0.25">
      <c r="A117" s="2">
        <v>45808</v>
      </c>
      <c r="B117" s="3" cm="1">
        <f t="array" aca="1" ref="B117" ca="1">_xll.YCP("^SPX", "total_monthly_return",A117)</f>
        <v>6.2945000000000001E-2</v>
      </c>
      <c r="C117" s="3" cm="1">
        <f t="array" aca="1" ref="C117" ca="1">_xll.YCP("^BBUSATR", "total_monthly_return",A117)</f>
        <v>-7.1599999999999997E-3</v>
      </c>
      <c r="D117" s="3" cm="1">
        <f t="array" aca="1" ref="D117" ca="1">_xll.YCP("^BBUSCOHYTR", "total_monthly_return",A117)</f>
        <v>1.6796999999999999E-2</v>
      </c>
      <c r="E117">
        <v>2.23E-2</v>
      </c>
      <c r="F117" s="3" cm="1">
        <f t="array" aca="1" ref="F117" ca="1">_xll.YCP("^BBGATR", "total_monthly_return",A117)</f>
        <v>-3.552E-3</v>
      </c>
      <c r="G117" s="3" cm="1">
        <f t="array" aca="1" ref="G117" ca="1">_xll.YCP("^MSACWI", "total_monthly_return",A117)</f>
        <v>5.8133999999999998E-2</v>
      </c>
      <c r="H117" s="4">
        <f t="shared" ca="1" si="7"/>
        <v>1.18695E-2</v>
      </c>
      <c r="I117">
        <f t="shared" ca="1" si="8"/>
        <v>2.3435625000000002E-2</v>
      </c>
      <c r="J117">
        <f t="shared" ca="1" si="10"/>
        <v>1538.3530572645977</v>
      </c>
      <c r="K117" s="5">
        <f t="shared" ca="1" si="11"/>
        <v>0.5383530572645977</v>
      </c>
      <c r="L117">
        <f t="shared" ca="1" si="9"/>
        <v>2.0882000000000005E-2</v>
      </c>
      <c r="M117">
        <f t="shared" ca="1" si="12"/>
        <v>1880.5131863608865</v>
      </c>
      <c r="N117" s="5">
        <f t="shared" ca="1" si="13"/>
        <v>0.88051318636088649</v>
      </c>
    </row>
    <row r="118" spans="1:14" x14ac:dyDescent="0.25">
      <c r="A118" s="2">
        <v>45838</v>
      </c>
      <c r="B118" s="3" cm="1">
        <f t="array" aca="1" ref="B118" ca="1">_xll.YCP("^SPX", "total_monthly_return",A118)</f>
        <v>5.0853000000000002E-2</v>
      </c>
      <c r="C118" s="3" cm="1">
        <f t="array" aca="1" ref="C118" ca="1">_xll.YCP("^BBUSATR", "total_monthly_return",A118)</f>
        <v>1.5376000000000001E-2</v>
      </c>
      <c r="D118" s="3" cm="1">
        <f t="array" aca="1" ref="D118" ca="1">_xll.YCP("^BBUSCOHYTR", "total_monthly_return",A118)</f>
        <v>1.8391999999999999E-2</v>
      </c>
      <c r="E118">
        <v>2.3300000000000001E-2</v>
      </c>
      <c r="F118" s="3" cm="1">
        <f t="array" aca="1" ref="F118" ca="1">_xll.YCP("^BBGATR", "total_monthly_return",A118)</f>
        <v>1.8950000000000002E-2</v>
      </c>
      <c r="G118" s="3" cm="1">
        <f t="array" aca="1" ref="G118" ca="1">_xll.YCP("^MSACWI", "total_monthly_return",A118)</f>
        <v>4.5330000000000002E-2</v>
      </c>
      <c r="H118" s="4">
        <f t="shared" ca="1" si="7"/>
        <v>2.5545000000000002E-2</v>
      </c>
      <c r="I118">
        <f t="shared" ca="1" si="8"/>
        <v>3.0491250000000004E-2</v>
      </c>
      <c r="J118">
        <f t="shared" ca="1" si="10"/>
        <v>1585.259364921917</v>
      </c>
      <c r="K118" s="5">
        <f t="shared" ca="1" si="11"/>
        <v>0.58525936492191699</v>
      </c>
      <c r="L118">
        <f t="shared" ca="1" si="9"/>
        <v>2.9566800000000004E-2</v>
      </c>
      <c r="M118">
        <f t="shared" ca="1" si="12"/>
        <v>1936.1139436393817</v>
      </c>
      <c r="N118" s="5">
        <f t="shared" ca="1" si="13"/>
        <v>0.93611394363938161</v>
      </c>
    </row>
    <row r="119" spans="1:14" x14ac:dyDescent="0.25">
      <c r="A119" s="2">
        <v>45869</v>
      </c>
      <c r="B119" s="3" cm="1">
        <f t="array" aca="1" ref="B119" ca="1">_xll.YCP("^SPX", "total_monthly_return",A119)</f>
        <v>2.2443000000000001E-2</v>
      </c>
      <c r="C119" s="3" cm="1">
        <f t="array" aca="1" ref="C119" ca="1">_xll.YCP("^BBUSATR", "total_monthly_return",A119)</f>
        <v>-2.6380000000000002E-3</v>
      </c>
      <c r="D119" s="3" cm="1">
        <f t="array" aca="1" ref="D119" ca="1">_xll.YCP("^BBUSCOHYTR", "total_monthly_return",A119)</f>
        <v>4.5059999999999996E-3</v>
      </c>
      <c r="E119">
        <v>9.7000000000000003E-3</v>
      </c>
      <c r="F119" s="3" cm="1">
        <f t="array" aca="1" ref="F119" ca="1">_xll.YCP("^BBGATR", "total_monthly_return",A119)</f>
        <v>-1.4895E-2</v>
      </c>
      <c r="G119" s="3" cm="1">
        <f t="array" aca="1" ref="G119" ca="1">_xll.YCP("^MSACWI", "total_monthly_return",A119)</f>
        <v>1.3814999999999999E-2</v>
      </c>
      <c r="H119" s="4">
        <f t="shared" ca="1" si="7"/>
        <v>-7.7175000000000004E-3</v>
      </c>
      <c r="I119">
        <f t="shared" ca="1" si="8"/>
        <v>-2.3343750000000001E-3</v>
      </c>
      <c r="J119">
        <f t="shared" ca="1" si="10"/>
        <v>1581.5587750919274</v>
      </c>
      <c r="K119" s="5">
        <f t="shared" ca="1" si="11"/>
        <v>0.58155877509192733</v>
      </c>
      <c r="L119">
        <f t="shared" ca="1" si="9"/>
        <v>7.3944000000000006E-3</v>
      </c>
      <c r="M119">
        <f t="shared" ca="1" si="12"/>
        <v>1950.4303445842286</v>
      </c>
      <c r="N119" s="5">
        <f t="shared" ca="1" si="13"/>
        <v>0.95043034458422859</v>
      </c>
    </row>
    <row r="120" spans="1:14" x14ac:dyDescent="0.25">
      <c r="A120" s="2">
        <v>45900</v>
      </c>
      <c r="B120" s="3" cm="1">
        <f t="array" aca="1" ref="B120" ca="1">_xll.YCP("^SPX", "total_monthly_return",A120)</f>
        <v>2.0271999999999998E-2</v>
      </c>
      <c r="C120" s="3" cm="1">
        <f t="array" aca="1" ref="C120" ca="1">_xll.YCP("^BBUSATR", "total_monthly_return",A120)</f>
        <v>1.196E-2</v>
      </c>
      <c r="D120" s="3" cm="1">
        <f t="array" aca="1" ref="D120" ca="1">_xll.YCP("^BBUSCOHYTR", "total_monthly_return",A120)</f>
        <v>1.2499E-2</v>
      </c>
      <c r="E120">
        <v>2.2100000000000002E-2</v>
      </c>
      <c r="F120" s="3" cm="1">
        <f t="array" aca="1" ref="F120" ca="1">_xll.YCP("^BBGATR", "total_monthly_return",A120)</f>
        <v>1.4536E-2</v>
      </c>
      <c r="G120" s="3" cm="1">
        <f t="array" aca="1" ref="G120" ca="1">_xll.YCP("^MSACWI", "total_monthly_return",A120)</f>
        <v>2.5146999999999999E-2</v>
      </c>
      <c r="H120" s="4">
        <f t="shared" ca="1" si="7"/>
        <v>1.7188749999999999E-2</v>
      </c>
      <c r="I120">
        <f t="shared" ca="1" si="8"/>
        <v>1.9178312499999999E-2</v>
      </c>
      <c r="J120">
        <f t="shared" ca="1" si="10"/>
        <v>1611.8904035177577</v>
      </c>
      <c r="K120" s="5">
        <f t="shared" ca="1" si="11"/>
        <v>0.6118904035177577</v>
      </c>
      <c r="L120">
        <f t="shared" ca="1" si="9"/>
        <v>1.5284799999999999E-2</v>
      </c>
      <c r="M120">
        <f t="shared" ca="1" si="12"/>
        <v>1980.2422823151298</v>
      </c>
      <c r="N120" s="5">
        <f t="shared" ca="1" si="13"/>
        <v>0.98024228231512989</v>
      </c>
    </row>
    <row r="121" spans="1:14" x14ac:dyDescent="0.25">
      <c r="A121" s="2">
        <v>45930</v>
      </c>
      <c r="B121" s="3" cm="1">
        <f t="array" aca="1" ref="B121" ca="1">_xll.YCP("^SPX", "total_monthly_return",A121)</f>
        <v>3.6499999999999998E-2</v>
      </c>
      <c r="C121" s="3" cm="1">
        <f t="array" aca="1" ref="C121" ca="1">_xll.YCP("^BBUSATR", "total_monthly_return",A121)</f>
        <v>1.0909E-2</v>
      </c>
      <c r="D121" s="3" cm="1">
        <f t="array" aca="1" ref="D121" ca="1">_xll.YCP("^BBUSCOHYTR", "total_monthly_return",A121)</f>
        <v>8.1569999999999993E-3</v>
      </c>
      <c r="E121">
        <v>2.1499999999999998E-2</v>
      </c>
      <c r="F121" s="3" cm="1">
        <f t="array" aca="1" ref="F121" ca="1">_xll.YCP("^BBGATR", "total_monthly_return",A121)</f>
        <v>6.5319999999999996E-3</v>
      </c>
      <c r="G121" s="3" cm="1">
        <f t="array" aca="1" ref="G121" ca="1">_xll.YCP("^MSACWI", "total_monthly_return",A121)</f>
        <v>3.6608000000000002E-2</v>
      </c>
      <c r="H121" s="4">
        <f t="shared" ca="1" si="7"/>
        <v>1.4051000000000001E-2</v>
      </c>
      <c r="I121">
        <f t="shared" ca="1" si="8"/>
        <v>1.9690249999999999E-2</v>
      </c>
      <c r="J121">
        <f t="shared" ca="1" si="10"/>
        <v>1643.6289285356233</v>
      </c>
      <c r="K121" s="5">
        <f t="shared" ca="1" si="11"/>
        <v>0.64362892853562337</v>
      </c>
      <c r="L121">
        <f t="shared" ca="1" si="9"/>
        <v>2.1145400000000002E-2</v>
      </c>
      <c r="M121">
        <f t="shared" ca="1" si="12"/>
        <v>2022.1152974715963</v>
      </c>
      <c r="N121" s="5">
        <f t="shared" ca="1" si="13"/>
        <v>1.0221152974715964</v>
      </c>
    </row>
    <row r="122" spans="1:14" x14ac:dyDescent="0.25">
      <c r="A122" s="2">
        <v>45961</v>
      </c>
      <c r="B122" s="3" cm="1">
        <f t="array" aca="1" ref="B122" ca="1">_xll.YCP("^SPX", "total_monthly_return",A122)</f>
        <v>2.3414000000000001E-2</v>
      </c>
      <c r="C122" s="3" cm="1">
        <f t="array" aca="1" ref="C122" ca="1">_xll.YCP("^BBUSATR", "total_monthly_return",A122)</f>
        <v>6.2480000000000001E-3</v>
      </c>
      <c r="D122" s="3" cm="1">
        <f t="array" aca="1" ref="D122" ca="1">_xll.YCP("^BBUSCOHYTR", "total_monthly_return",A122)</f>
        <v>1.5740000000000001E-3</v>
      </c>
      <c r="E122">
        <v>7.1999999999999998E-3</v>
      </c>
      <c r="F122" s="3" cm="1">
        <f t="array" aca="1" ref="F122" ca="1">_xll.YCP("^BBGATR", "total_monthly_return",A122)</f>
        <v>-2.539E-3</v>
      </c>
      <c r="G122" s="3" cm="1">
        <f t="array" aca="1" ref="G122" ca="1">_xll.YCP("^MSACWI", "total_monthly_return",A122)</f>
        <v>2.2554999999999999E-2</v>
      </c>
      <c r="H122" s="4">
        <f t="shared" ca="1" si="7"/>
        <v>3.7344999999999995E-3</v>
      </c>
      <c r="I122">
        <f t="shared" ca="1" si="8"/>
        <v>8.4396249999999992E-3</v>
      </c>
      <c r="J122">
        <f t="shared" ca="1" si="10"/>
        <v>1657.5005403316159</v>
      </c>
      <c r="K122" s="5">
        <f t="shared" ca="1" si="11"/>
        <v>0.65750054033161587</v>
      </c>
      <c r="L122">
        <f t="shared" ca="1" si="9"/>
        <v>1.31144E-2</v>
      </c>
      <c r="M122">
        <f t="shared" ca="1" si="12"/>
        <v>2048.6341263287577</v>
      </c>
      <c r="N122" s="5">
        <f t="shared" ca="1" si="13"/>
        <v>1.0486341263287577</v>
      </c>
    </row>
    <row r="123" spans="1:14" x14ac:dyDescent="0.25">
      <c r="A123" s="2">
        <v>45991</v>
      </c>
      <c r="B123" s="3" cm="1">
        <f t="array" aca="1" ref="B123" ca="1">_xll.YCP("^SPX", "total_monthly_return",A123)</f>
        <v>2.4510000000000001E-3</v>
      </c>
      <c r="C123" s="3" cm="1">
        <f t="array" aca="1" ref="C123" ca="1">_xll.YCP("^BBUSATR", "total_monthly_return",A123)</f>
        <v>6.2139999999999999E-3</v>
      </c>
      <c r="D123" s="3" cm="1">
        <f t="array" aca="1" ref="D123" ca="1">_xll.YCP("^BBUSCOHYTR", "total_monthly_return",A123)</f>
        <v>5.7920000000000003E-3</v>
      </c>
      <c r="E123">
        <v>5.7000000000000002E-3</v>
      </c>
      <c r="F123" s="3" cm="1">
        <f t="array" aca="1" ref="F123" ca="1">_xll.YCP("^BBGATR", "total_monthly_return",A123)</f>
        <v>2.323E-3</v>
      </c>
      <c r="G123" s="3" cm="1">
        <f t="array" aca="1" ref="G123" ca="1">_xll.YCP("^MSACWI", "total_monthly_return",A123)</f>
        <v>1.6899999999999999E-4</v>
      </c>
      <c r="H123" s="4">
        <f t="shared" ca="1" si="7"/>
        <v>1.7844999999999998E-3</v>
      </c>
      <c r="I123">
        <f t="shared" ca="1" si="8"/>
        <v>1.3806249999999999E-3</v>
      </c>
      <c r="J123">
        <f t="shared" ca="1" si="10"/>
        <v>1659.7889270151111</v>
      </c>
      <c r="K123" s="5">
        <f t="shared" ca="1" si="11"/>
        <v>0.65978892701511105</v>
      </c>
      <c r="L123">
        <f t="shared" ca="1" si="9"/>
        <v>4.7088E-3</v>
      </c>
      <c r="M123">
        <f t="shared" ca="1" si="12"/>
        <v>2058.2807347028142</v>
      </c>
      <c r="N123" s="5">
        <f t="shared" ca="1" si="13"/>
        <v>1.0582807347028143</v>
      </c>
    </row>
    <row r="124" spans="1:14" x14ac:dyDescent="0.25">
      <c r="A124" s="2">
        <f>EOMONTH(A123,1)</f>
        <v>46022</v>
      </c>
      <c r="B124" s="3" cm="1">
        <f t="array" aca="1" ref="B124" ca="1">_xll.YCP("^SPX", "total_monthly_return",A124)</f>
        <v>6.1200000000000002E-4</v>
      </c>
      <c r="C124" s="3" cm="1">
        <f t="array" aca="1" ref="C124" ca="1">_xll.YCP("^BBUSATR", "total_monthly_return",A124)</f>
        <v>-1.48E-3</v>
      </c>
      <c r="D124" s="3" cm="1">
        <f t="array" aca="1" ref="D124" ca="1">_xll.YCP("^BBUSCOHYTR", "total_monthly_return",A124)</f>
        <v>5.666E-3</v>
      </c>
      <c r="E124">
        <v>1.5599999999999999E-2</v>
      </c>
      <c r="F124" s="3" cm="1">
        <f t="array" aca="1" ref="F124" ca="1">_xll.YCP("^BBGATR", "total_monthly_return",A124)</f>
        <v>2.611E-3</v>
      </c>
      <c r="G124" s="3" cm="1">
        <f t="array" aca="1" ref="G124" ca="1">_xll.YCP("^MSACWI", "total_monthly_return",A124)</f>
        <v>1.0739E-2</v>
      </c>
      <c r="H124" s="4">
        <f t="shared" ca="1" si="7"/>
        <v>4.6429999999999996E-3</v>
      </c>
      <c r="I124">
        <f t="shared" ca="1" si="8"/>
        <v>6.1669999999999997E-3</v>
      </c>
      <c r="J124">
        <f t="shared" ca="1" si="10"/>
        <v>1670.0248453280133</v>
      </c>
      <c r="K124" s="5">
        <f t="shared" ca="1" si="11"/>
        <v>0.67002484532801332</v>
      </c>
      <c r="L124">
        <f t="shared" ca="1" si="9"/>
        <v>-6.431999999999998E-4</v>
      </c>
      <c r="M124">
        <f t="shared" ca="1" si="12"/>
        <v>2056.9568485342534</v>
      </c>
      <c r="N124" s="5">
        <f t="shared" ca="1" si="13"/>
        <v>1.0569568485342533</v>
      </c>
    </row>
    <row r="125" spans="1:14" x14ac:dyDescent="0.25">
      <c r="A125" s="2">
        <f>EOMONTH(A124,1)</f>
        <v>46053</v>
      </c>
      <c r="B125" s="3" cm="1">
        <f t="array" aca="1" ref="B125" ca="1">_xll.YCP("^SPX", "total_monthly_return",A125)</f>
        <v>1.4500000000000001E-2</v>
      </c>
      <c r="C125" s="3" cm="1">
        <f t="array" aca="1" ref="C125" ca="1">_xll.YCP("^BBUSATR", "total_monthly_return",A125)</f>
        <v>1.0679999999999999E-3</v>
      </c>
      <c r="D125" s="3" cm="1">
        <f t="array" aca="1" ref="D125" ca="1">_xll.YCP("^BBUSCOHYTR", "total_monthly_return",A125)</f>
        <v>5.0889999999999998E-3</v>
      </c>
      <c r="E125">
        <v>1.0156000000000001</v>
      </c>
      <c r="F125" s="3" cm="1">
        <f t="array" aca="1" ref="F125" ca="1">_xll.YCP("^BBGATR", "total_monthly_return",A125)</f>
        <v>9.3609999999999995E-3</v>
      </c>
      <c r="G125" s="3" cm="1">
        <f t="array" aca="1" ref="G125" ca="1">_xll.YCP("^MSACWI", "total_monthly_return",A125)</f>
        <v>2.9839999999999998E-2</v>
      </c>
      <c r="H125" s="4">
        <f t="shared" ref="H125" ca="1" si="14">0.75*F125+0.25*G125</f>
        <v>1.4480749999999999E-2</v>
      </c>
      <c r="I125">
        <f t="shared" ref="I125" ca="1" si="15">(0.25*G125)+(H125*0.75)</f>
        <v>1.8320562499999998E-2</v>
      </c>
      <c r="J125">
        <f t="shared" ref="J125" ca="1" si="16">J124*(1+I125)</f>
        <v>1700.6206398833981</v>
      </c>
      <c r="K125" s="5">
        <f t="shared" ref="K125" ca="1" si="17">(J125-1000)/1000</f>
        <v>0.70062063988339807</v>
      </c>
      <c r="L125">
        <f t="shared" ref="L125" ca="1" si="18">(0.4*B125)+(C125*0.6)</f>
        <v>6.4408E-3</v>
      </c>
      <c r="M125">
        <f t="shared" ref="M125" ca="1" si="19">M124*(1+L125)</f>
        <v>2070.2052962042931</v>
      </c>
      <c r="N125" s="5">
        <f t="shared" ref="N125" ca="1" si="20">(M125-1000)/1000</f>
        <v>1.0702052962042932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F45E39BCC0564E9780ED2C62BF9AAF" ma:contentTypeVersion="12" ma:contentTypeDescription="Create a new document." ma:contentTypeScope="" ma:versionID="cb08e346754dd6d0b71e82b90c52e113">
  <xsd:schema xmlns:xsd="http://www.w3.org/2001/XMLSchema" xmlns:xs="http://www.w3.org/2001/XMLSchema" xmlns:p="http://schemas.microsoft.com/office/2006/metadata/properties" xmlns:ns2="b7db74b6-0311-4179-8757-7096aa1e0ffb" xmlns:ns3="7bd9dcd9-92cf-40b2-9c5b-3ea491f78539" targetNamespace="http://schemas.microsoft.com/office/2006/metadata/properties" ma:root="true" ma:fieldsID="22e3a96bf719a06bcf5703e9101f2b1f" ns2:_="" ns3:_="">
    <xsd:import namespace="b7db74b6-0311-4179-8757-7096aa1e0ffb"/>
    <xsd:import namespace="7bd9dcd9-92cf-40b2-9c5b-3ea491f785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b74b6-0311-4179-8757-7096aa1e0f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37f0fc6-b16f-4cde-9b76-2f5600fd7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9dcd9-92cf-40b2-9c5b-3ea491f785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5e447b4-8171-4c56-bb17-a6238b964e63}" ma:internalName="TaxCatchAll" ma:showField="CatchAllData" ma:web="7bd9dcd9-92cf-40b2-9c5b-3ea491f78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d9dcd9-92cf-40b2-9c5b-3ea491f78539" xsi:nil="true"/>
    <lcf76f155ced4ddcb4097134ff3c332f xmlns="b7db74b6-0311-4179-8757-7096aa1e0f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F6ECEE-98DC-43F6-8B94-A4B34730CA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E24CC6-99C1-4329-AB1A-948DA05226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db74b6-0311-4179-8757-7096aa1e0ffb"/>
    <ds:schemaRef ds:uri="7bd9dcd9-92cf-40b2-9c5b-3ea491f785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6DF153-71DC-48E7-A118-BAEECE060D08}">
  <ds:schemaRefs>
    <ds:schemaRef ds:uri="http://schemas.microsoft.com/office/2006/metadata/properties"/>
    <ds:schemaRef ds:uri="http://schemas.microsoft.com/office/infopath/2007/PartnerControls"/>
    <ds:schemaRef ds:uri="7bd9dcd9-92cf-40b2-9c5b-3ea491f78539"/>
    <ds:schemaRef ds:uri="b7db74b6-0311-4179-8757-7096aa1e0f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Schneck</dc:creator>
  <cp:lastModifiedBy>Mike Schneck</cp:lastModifiedBy>
  <dcterms:created xsi:type="dcterms:W3CDTF">2026-01-22T02:23:16Z</dcterms:created>
  <dcterms:modified xsi:type="dcterms:W3CDTF">2026-02-09T21:12:06Z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0x0101001BF45E39BCC0564E9780ED2C62BF9AAF</vt:lpwstr>
  </property>
  <property fmtid="{D5CDD505-2E9C-101B-9397-08002B2CF9AE}" pid="3" name="MediaServiceImageTags">
    <vt:lpwstr/>
  </property>
</Properties>
</file>